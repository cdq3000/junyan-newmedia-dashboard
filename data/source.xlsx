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1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3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4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5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6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7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8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9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10.xml" ContentType="application/vnd.openxmlformats-officedocument.themeOverrid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heme/themeOverride11.xml" ContentType="application/vnd.openxmlformats-officedocument.themeOverrid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heme/themeOverride12.xml" ContentType="application/vnd.openxmlformats-officedocument.themeOverrid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13.xml" ContentType="application/vnd.openxmlformats-officedocument.themeOverrid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14.xml" ContentType="application/vnd.openxmlformats-officedocument.themeOverrid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15.xml" ContentType="application/vnd.openxmlformats-officedocument.themeOverrid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theme/themeOverride16.xml" ContentType="application/vnd.openxmlformats-officedocument.themeOverrid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theme/themeOverride17.xml" ContentType="application/vnd.openxmlformats-officedocument.themeOverrid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theme/themeOverride18.xml" ContentType="application/vnd.openxmlformats-officedocument.themeOverrid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heme/themeOverride19.xml" ContentType="application/vnd.openxmlformats-officedocument.themeOverrid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theme/themeOverride20.xml" ContentType="application/vnd.openxmlformats-officedocument.themeOverrid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theme/themeOverride21.xml" ContentType="application/vnd.openxmlformats-officedocument.themeOverrid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theme/themeOverride22.xml" ContentType="application/vnd.openxmlformats-officedocument.themeOverrid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theme/themeOverride23.xml" ContentType="application/vnd.openxmlformats-officedocument.themeOverrid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theme/themeOverride24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lala\Desktop\"/>
    </mc:Choice>
  </mc:AlternateContent>
  <xr:revisionPtr revIDLastSave="0" documentId="13_ncr:1_{FA6412E5-2BB4-417D-93CD-6FE8BDF3FE25}" xr6:coauthVersionLast="47" xr6:coauthVersionMax="47" xr10:uidLastSave="{00000000-0000-0000-0000-000000000000}"/>
  <bookViews>
    <workbookView xWindow="-98" yWindow="-98" windowWidth="23596" windowHeight="15076" tabRatio="822" firstSheet="2" activeTab="2" xr2:uid="{00000000-000D-0000-FFFF-FFFF00000000}"/>
  </bookViews>
  <sheets>
    <sheet name="目标数据" sheetId="4" state="hidden" r:id="rId1"/>
    <sheet name="核心指标进度表" sheetId="3" state="hidden" r:id="rId2"/>
    <sheet name="总表-数据收集" sheetId="2" r:id="rId3"/>
    <sheet name="数据2" sheetId="9" state="hidden" r:id="rId4"/>
    <sheet name="周数据对比1" sheetId="5" state="hidden" r:id="rId5"/>
    <sheet name="周数据对比2" sheetId="10" state="hidden" r:id="rId6"/>
    <sheet name="2026月度数据对比" sheetId="8" state="hidden" r:id="rId7"/>
    <sheet name="数据明细" sheetId="11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2" hidden="1">'总表-数据收集'!$A$1:$B$23</definedName>
    <definedName name="EXCEL">IF([1]呈现!$D$2&gt;0,[1]辅助!$A$1,IF([1]呈现!$D$2&lt;0,[1]辅助!$A$2,[1]辅助!$A$3))</definedName>
    <definedName name="PPT">IF([1]呈现!$D$3&gt;0,[1]辅助!$A$1,IF([1]呈现!$D$3&lt;0,[1]辅助!$A$2,[1]辅助!$A$3))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5" i="11" l="1"/>
  <c r="K54" i="11"/>
  <c r="K53" i="11"/>
  <c r="K52" i="11"/>
  <c r="K51" i="11"/>
  <c r="K50" i="11"/>
  <c r="K49" i="11"/>
  <c r="K48" i="11"/>
  <c r="K47" i="11"/>
  <c r="K46" i="11"/>
  <c r="K45" i="11"/>
  <c r="K44" i="11"/>
  <c r="K43" i="11"/>
  <c r="K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1" i="8"/>
  <c r="B51" i="8"/>
  <c r="C50" i="8"/>
  <c r="B50" i="8"/>
  <c r="C49" i="8"/>
  <c r="B49" i="8"/>
  <c r="C48" i="8"/>
  <c r="B48" i="8"/>
  <c r="C47" i="8"/>
  <c r="B47" i="8"/>
  <c r="C45" i="8"/>
  <c r="B45" i="8"/>
  <c r="Q40" i="8"/>
  <c r="P40" i="8"/>
  <c r="C40" i="8"/>
  <c r="B40" i="8"/>
  <c r="Q39" i="8"/>
  <c r="P39" i="8"/>
  <c r="C39" i="8"/>
  <c r="B39" i="8"/>
  <c r="Q38" i="8"/>
  <c r="P38" i="8"/>
  <c r="C38" i="8"/>
  <c r="B38" i="8"/>
  <c r="Q37" i="8"/>
  <c r="P37" i="8"/>
  <c r="C37" i="8"/>
  <c r="B37" i="8"/>
  <c r="Q36" i="8"/>
  <c r="P36" i="8"/>
  <c r="C36" i="8"/>
  <c r="B36" i="8"/>
  <c r="Q35" i="8"/>
  <c r="P35" i="8"/>
  <c r="C35" i="8"/>
  <c r="B35" i="8"/>
  <c r="Q34" i="8"/>
  <c r="P34" i="8"/>
  <c r="C34" i="8"/>
  <c r="B34" i="8"/>
  <c r="Q33" i="8"/>
  <c r="P33" i="8"/>
  <c r="C33" i="8"/>
  <c r="B33" i="8"/>
  <c r="Q32" i="8"/>
  <c r="P32" i="8"/>
  <c r="C32" i="8"/>
  <c r="B32" i="8"/>
  <c r="Q30" i="8"/>
  <c r="P30" i="8"/>
  <c r="C30" i="8"/>
  <c r="B30" i="8"/>
  <c r="Q29" i="8"/>
  <c r="P29" i="8"/>
  <c r="C29" i="8"/>
  <c r="B29" i="8"/>
  <c r="Q28" i="8"/>
  <c r="P28" i="8"/>
  <c r="C28" i="8"/>
  <c r="B28" i="8"/>
  <c r="Q27" i="8"/>
  <c r="P27" i="8"/>
  <c r="C27" i="8"/>
  <c r="B27" i="8"/>
  <c r="Q26" i="8"/>
  <c r="P26" i="8"/>
  <c r="C26" i="8"/>
  <c r="B26" i="8"/>
  <c r="Q24" i="8"/>
  <c r="P24" i="8"/>
  <c r="C24" i="8"/>
  <c r="B24" i="8"/>
  <c r="Q19" i="8"/>
  <c r="P19" i="8"/>
  <c r="C19" i="8"/>
  <c r="B19" i="8"/>
  <c r="Q18" i="8"/>
  <c r="P18" i="8"/>
  <c r="C18" i="8"/>
  <c r="B18" i="8"/>
  <c r="Q17" i="8"/>
  <c r="P17" i="8"/>
  <c r="C17" i="8"/>
  <c r="B17" i="8"/>
  <c r="Q16" i="8"/>
  <c r="P16" i="8"/>
  <c r="C16" i="8"/>
  <c r="B16" i="8"/>
  <c r="Q15" i="8"/>
  <c r="P15" i="8"/>
  <c r="C15" i="8"/>
  <c r="B15" i="8"/>
  <c r="Q14" i="8"/>
  <c r="P14" i="8"/>
  <c r="C14" i="8"/>
  <c r="B14" i="8"/>
  <c r="Q13" i="8"/>
  <c r="P13" i="8"/>
  <c r="C13" i="8"/>
  <c r="B13" i="8"/>
  <c r="Q12" i="8"/>
  <c r="P12" i="8"/>
  <c r="C12" i="8"/>
  <c r="B12" i="8"/>
  <c r="Q11" i="8"/>
  <c r="P11" i="8"/>
  <c r="C11" i="8"/>
  <c r="B11" i="8"/>
  <c r="Q9" i="8"/>
  <c r="P9" i="8"/>
  <c r="C9" i="8"/>
  <c r="B9" i="8"/>
  <c r="Q8" i="8"/>
  <c r="P8" i="8"/>
  <c r="C8" i="8"/>
  <c r="B8" i="8"/>
  <c r="Q7" i="8"/>
  <c r="P7" i="8"/>
  <c r="C7" i="8"/>
  <c r="B7" i="8"/>
  <c r="Q6" i="8"/>
  <c r="P6" i="8"/>
  <c r="C6" i="8"/>
  <c r="B6" i="8"/>
  <c r="Q5" i="8"/>
  <c r="P5" i="8"/>
  <c r="C5" i="8"/>
  <c r="B5" i="8"/>
  <c r="Q3" i="8"/>
  <c r="P3" i="8"/>
  <c r="C3" i="8"/>
  <c r="B3" i="8"/>
  <c r="H66" i="10"/>
  <c r="G66" i="10"/>
  <c r="F66" i="10"/>
  <c r="E66" i="10"/>
  <c r="D66" i="10"/>
  <c r="H65" i="10"/>
  <c r="G65" i="10"/>
  <c r="F65" i="10"/>
  <c r="E65" i="10"/>
  <c r="D65" i="10"/>
  <c r="H64" i="10"/>
  <c r="G64" i="10"/>
  <c r="F64" i="10"/>
  <c r="E64" i="10"/>
  <c r="D64" i="10"/>
  <c r="H63" i="10"/>
  <c r="G63" i="10"/>
  <c r="F63" i="10"/>
  <c r="E63" i="10"/>
  <c r="D63" i="10"/>
  <c r="H62" i="10"/>
  <c r="G62" i="10"/>
  <c r="F62" i="10"/>
  <c r="E62" i="10"/>
  <c r="D62" i="10"/>
  <c r="H61" i="10"/>
  <c r="G61" i="10"/>
  <c r="F61" i="10"/>
  <c r="E61" i="10"/>
  <c r="D61" i="10"/>
  <c r="H60" i="10"/>
  <c r="G60" i="10"/>
  <c r="F60" i="10"/>
  <c r="E60" i="10"/>
  <c r="D60" i="10"/>
  <c r="H59" i="10"/>
  <c r="G59" i="10"/>
  <c r="F59" i="10"/>
  <c r="E59" i="10"/>
  <c r="D59" i="10"/>
  <c r="H58" i="10"/>
  <c r="G58" i="10"/>
  <c r="F58" i="10"/>
  <c r="E58" i="10"/>
  <c r="D58" i="10"/>
  <c r="H57" i="10"/>
  <c r="G57" i="10"/>
  <c r="F57" i="10"/>
  <c r="E57" i="10"/>
  <c r="D57" i="10"/>
  <c r="H56" i="10"/>
  <c r="G56" i="10"/>
  <c r="F56" i="10"/>
  <c r="E56" i="10"/>
  <c r="D56" i="10"/>
  <c r="H55" i="10"/>
  <c r="G55" i="10"/>
  <c r="F55" i="10"/>
  <c r="E55" i="10"/>
  <c r="D55" i="10"/>
  <c r="H54" i="10"/>
  <c r="G54" i="10"/>
  <c r="F54" i="10"/>
  <c r="E54" i="10"/>
  <c r="D54" i="10"/>
  <c r="H53" i="10"/>
  <c r="G53" i="10"/>
  <c r="F53" i="10"/>
  <c r="E53" i="10"/>
  <c r="D53" i="10"/>
  <c r="H52" i="10"/>
  <c r="G52" i="10"/>
  <c r="F52" i="10"/>
  <c r="E52" i="10"/>
  <c r="D52" i="10"/>
  <c r="H51" i="10"/>
  <c r="G51" i="10"/>
  <c r="F51" i="10"/>
  <c r="E51" i="10"/>
  <c r="D51" i="10"/>
  <c r="H50" i="10"/>
  <c r="G50" i="10"/>
  <c r="F50" i="10"/>
  <c r="E50" i="10"/>
  <c r="D50" i="10"/>
  <c r="H49" i="10"/>
  <c r="G49" i="10"/>
  <c r="F49" i="10"/>
  <c r="E49" i="10"/>
  <c r="D49" i="10"/>
  <c r="H43" i="10"/>
  <c r="G43" i="10"/>
  <c r="F43" i="10"/>
  <c r="E43" i="10"/>
  <c r="D43" i="10"/>
  <c r="H42" i="10"/>
  <c r="G42" i="10"/>
  <c r="F42" i="10"/>
  <c r="E42" i="10"/>
  <c r="D42" i="10"/>
  <c r="H41" i="10"/>
  <c r="G41" i="10"/>
  <c r="F41" i="10"/>
  <c r="E41" i="10"/>
  <c r="D41" i="10"/>
  <c r="H40" i="10"/>
  <c r="G40" i="10"/>
  <c r="F40" i="10"/>
  <c r="E40" i="10"/>
  <c r="D40" i="10"/>
  <c r="H39" i="10"/>
  <c r="G39" i="10"/>
  <c r="F39" i="10"/>
  <c r="E39" i="10"/>
  <c r="D39" i="10"/>
  <c r="H38" i="10"/>
  <c r="G38" i="10"/>
  <c r="F38" i="10"/>
  <c r="E38" i="10"/>
  <c r="D38" i="10"/>
  <c r="H37" i="10"/>
  <c r="G37" i="10"/>
  <c r="F37" i="10"/>
  <c r="E37" i="10"/>
  <c r="D37" i="10"/>
  <c r="H36" i="10"/>
  <c r="G36" i="10"/>
  <c r="F36" i="10"/>
  <c r="E36" i="10"/>
  <c r="D36" i="10"/>
  <c r="H35" i="10"/>
  <c r="G35" i="10"/>
  <c r="F35" i="10"/>
  <c r="E35" i="10"/>
  <c r="D35" i="10"/>
  <c r="H34" i="10"/>
  <c r="G34" i="10"/>
  <c r="F34" i="10"/>
  <c r="E34" i="10"/>
  <c r="D34" i="10"/>
  <c r="H33" i="10"/>
  <c r="G33" i="10"/>
  <c r="F33" i="10"/>
  <c r="E33" i="10"/>
  <c r="D33" i="10"/>
  <c r="H32" i="10"/>
  <c r="G32" i="10"/>
  <c r="F32" i="10"/>
  <c r="E32" i="10"/>
  <c r="D32" i="10"/>
  <c r="H31" i="10"/>
  <c r="G31" i="10"/>
  <c r="F31" i="10"/>
  <c r="E31" i="10"/>
  <c r="D31" i="10"/>
  <c r="H30" i="10"/>
  <c r="G30" i="10"/>
  <c r="F30" i="10"/>
  <c r="E30" i="10"/>
  <c r="D30" i="10"/>
  <c r="H29" i="10"/>
  <c r="G29" i="10"/>
  <c r="F29" i="10"/>
  <c r="E29" i="10"/>
  <c r="D29" i="10"/>
  <c r="H28" i="10"/>
  <c r="G28" i="10"/>
  <c r="F28" i="10"/>
  <c r="E28" i="10"/>
  <c r="D28" i="10"/>
  <c r="H27" i="10"/>
  <c r="G27" i="10"/>
  <c r="F27" i="10"/>
  <c r="E27" i="10"/>
  <c r="D27" i="10"/>
  <c r="H26" i="10"/>
  <c r="G26" i="10"/>
  <c r="F26" i="10"/>
  <c r="E26" i="10"/>
  <c r="D26" i="10"/>
  <c r="H21" i="10"/>
  <c r="G21" i="10"/>
  <c r="F21" i="10"/>
  <c r="E21" i="10"/>
  <c r="D21" i="10"/>
  <c r="H20" i="10"/>
  <c r="G20" i="10"/>
  <c r="F20" i="10"/>
  <c r="E20" i="10"/>
  <c r="D20" i="10"/>
  <c r="H19" i="10"/>
  <c r="G19" i="10"/>
  <c r="F19" i="10"/>
  <c r="E19" i="10"/>
  <c r="D19" i="10"/>
  <c r="H18" i="10"/>
  <c r="G18" i="10"/>
  <c r="F18" i="10"/>
  <c r="E18" i="10"/>
  <c r="D18" i="10"/>
  <c r="H17" i="10"/>
  <c r="G17" i="10"/>
  <c r="F17" i="10"/>
  <c r="E17" i="10"/>
  <c r="D17" i="10"/>
  <c r="H16" i="10"/>
  <c r="G16" i="10"/>
  <c r="F16" i="10"/>
  <c r="E16" i="10"/>
  <c r="D16" i="10"/>
  <c r="H15" i="10"/>
  <c r="G15" i="10"/>
  <c r="F15" i="10"/>
  <c r="E15" i="10"/>
  <c r="D15" i="10"/>
  <c r="H14" i="10"/>
  <c r="G14" i="10"/>
  <c r="F14" i="10"/>
  <c r="E14" i="10"/>
  <c r="D14" i="10"/>
  <c r="H13" i="10"/>
  <c r="G13" i="10"/>
  <c r="F13" i="10"/>
  <c r="E13" i="10"/>
  <c r="D13" i="10"/>
  <c r="H12" i="10"/>
  <c r="G12" i="10"/>
  <c r="F12" i="10"/>
  <c r="E12" i="10"/>
  <c r="D12" i="10"/>
  <c r="H11" i="10"/>
  <c r="G11" i="10"/>
  <c r="F11" i="10"/>
  <c r="E11" i="10"/>
  <c r="D11" i="10"/>
  <c r="H10" i="10"/>
  <c r="G10" i="10"/>
  <c r="F10" i="10"/>
  <c r="E10" i="10"/>
  <c r="D10" i="10"/>
  <c r="H9" i="10"/>
  <c r="G9" i="10"/>
  <c r="F9" i="10"/>
  <c r="E9" i="10"/>
  <c r="D9" i="10"/>
  <c r="H8" i="10"/>
  <c r="G8" i="10"/>
  <c r="F8" i="10"/>
  <c r="E8" i="10"/>
  <c r="D8" i="10"/>
  <c r="H7" i="10"/>
  <c r="G7" i="10"/>
  <c r="F7" i="10"/>
  <c r="E7" i="10"/>
  <c r="D7" i="10"/>
  <c r="H6" i="10"/>
  <c r="G6" i="10"/>
  <c r="F6" i="10"/>
  <c r="E6" i="10"/>
  <c r="D6" i="10"/>
  <c r="H5" i="10"/>
  <c r="G5" i="10"/>
  <c r="F5" i="10"/>
  <c r="E5" i="10"/>
  <c r="D5" i="10"/>
  <c r="H4" i="10"/>
  <c r="G4" i="10"/>
  <c r="F4" i="10"/>
  <c r="E4" i="10"/>
  <c r="D4" i="10"/>
  <c r="G127" i="5"/>
  <c r="F127" i="5"/>
  <c r="E127" i="5"/>
  <c r="D127" i="5"/>
  <c r="C127" i="5"/>
  <c r="G126" i="5"/>
  <c r="F126" i="5"/>
  <c r="E126" i="5"/>
  <c r="D126" i="5"/>
  <c r="C126" i="5"/>
  <c r="G125" i="5"/>
  <c r="F125" i="5"/>
  <c r="E125" i="5"/>
  <c r="D125" i="5"/>
  <c r="C125" i="5"/>
  <c r="A123" i="5"/>
  <c r="G120" i="5"/>
  <c r="F120" i="5"/>
  <c r="E120" i="5"/>
  <c r="D120" i="5"/>
  <c r="C120" i="5"/>
  <c r="G119" i="5"/>
  <c r="F119" i="5"/>
  <c r="E119" i="5"/>
  <c r="D119" i="5"/>
  <c r="C119" i="5"/>
  <c r="G118" i="5"/>
  <c r="F118" i="5"/>
  <c r="E118" i="5"/>
  <c r="D118" i="5"/>
  <c r="C118" i="5"/>
  <c r="A116" i="5"/>
  <c r="G113" i="5"/>
  <c r="F113" i="5"/>
  <c r="E113" i="5"/>
  <c r="D113" i="5"/>
  <c r="C113" i="5"/>
  <c r="G112" i="5"/>
  <c r="F112" i="5"/>
  <c r="E112" i="5"/>
  <c r="D112" i="5"/>
  <c r="C112" i="5"/>
  <c r="G111" i="5"/>
  <c r="F111" i="5"/>
  <c r="E111" i="5"/>
  <c r="D111" i="5"/>
  <c r="C111" i="5"/>
  <c r="A109" i="5"/>
  <c r="G106" i="5"/>
  <c r="F106" i="5"/>
  <c r="E106" i="5"/>
  <c r="D106" i="5"/>
  <c r="C106" i="5"/>
  <c r="G105" i="5"/>
  <c r="F105" i="5"/>
  <c r="E105" i="5"/>
  <c r="D105" i="5"/>
  <c r="C105" i="5"/>
  <c r="G104" i="5"/>
  <c r="F104" i="5"/>
  <c r="E104" i="5"/>
  <c r="D104" i="5"/>
  <c r="C104" i="5"/>
  <c r="A102" i="5"/>
  <c r="G99" i="5"/>
  <c r="F99" i="5"/>
  <c r="E99" i="5"/>
  <c r="D99" i="5"/>
  <c r="C99" i="5"/>
  <c r="G98" i="5"/>
  <c r="F98" i="5"/>
  <c r="E98" i="5"/>
  <c r="D98" i="5"/>
  <c r="C98" i="5"/>
  <c r="G97" i="5"/>
  <c r="F97" i="5"/>
  <c r="E97" i="5"/>
  <c r="D97" i="5"/>
  <c r="C97" i="5"/>
  <c r="A95" i="5"/>
  <c r="G92" i="5"/>
  <c r="F92" i="5"/>
  <c r="E92" i="5"/>
  <c r="D92" i="5"/>
  <c r="C92" i="5"/>
  <c r="G91" i="5"/>
  <c r="F91" i="5"/>
  <c r="E91" i="5"/>
  <c r="D91" i="5"/>
  <c r="C91" i="5"/>
  <c r="G90" i="5"/>
  <c r="F90" i="5"/>
  <c r="E90" i="5"/>
  <c r="D90" i="5"/>
  <c r="C90" i="5"/>
  <c r="A88" i="5"/>
  <c r="G85" i="5"/>
  <c r="F85" i="5"/>
  <c r="E85" i="5"/>
  <c r="D85" i="5"/>
  <c r="C85" i="5"/>
  <c r="G84" i="5"/>
  <c r="F84" i="5"/>
  <c r="E84" i="5"/>
  <c r="D84" i="5"/>
  <c r="C84" i="5"/>
  <c r="G83" i="5"/>
  <c r="F83" i="5"/>
  <c r="E83" i="5"/>
  <c r="D83" i="5"/>
  <c r="C83" i="5"/>
  <c r="A81" i="5"/>
  <c r="G78" i="5"/>
  <c r="F78" i="5"/>
  <c r="E78" i="5"/>
  <c r="D78" i="5"/>
  <c r="C78" i="5"/>
  <c r="G77" i="5"/>
  <c r="F77" i="5"/>
  <c r="E77" i="5"/>
  <c r="D77" i="5"/>
  <c r="C77" i="5"/>
  <c r="G76" i="5"/>
  <c r="F76" i="5"/>
  <c r="E76" i="5"/>
  <c r="D76" i="5"/>
  <c r="C76" i="5"/>
  <c r="A74" i="5"/>
  <c r="G71" i="5"/>
  <c r="F71" i="5"/>
  <c r="E71" i="5"/>
  <c r="D71" i="5"/>
  <c r="C71" i="5"/>
  <c r="G70" i="5"/>
  <c r="F70" i="5"/>
  <c r="E70" i="5"/>
  <c r="D70" i="5"/>
  <c r="C70" i="5"/>
  <c r="G69" i="5"/>
  <c r="F69" i="5"/>
  <c r="E69" i="5"/>
  <c r="D69" i="5"/>
  <c r="C69" i="5"/>
  <c r="A67" i="5"/>
  <c r="G64" i="5"/>
  <c r="F64" i="5"/>
  <c r="E64" i="5"/>
  <c r="D64" i="5"/>
  <c r="C64" i="5"/>
  <c r="G63" i="5"/>
  <c r="F63" i="5"/>
  <c r="E63" i="5"/>
  <c r="D63" i="5"/>
  <c r="C63" i="5"/>
  <c r="G62" i="5"/>
  <c r="F62" i="5"/>
  <c r="E62" i="5"/>
  <c r="D62" i="5"/>
  <c r="C62" i="5"/>
  <c r="A60" i="5"/>
  <c r="G57" i="5"/>
  <c r="F57" i="5"/>
  <c r="E57" i="5"/>
  <c r="D57" i="5"/>
  <c r="C57" i="5"/>
  <c r="G56" i="5"/>
  <c r="F56" i="5"/>
  <c r="E56" i="5"/>
  <c r="D56" i="5"/>
  <c r="C56" i="5"/>
  <c r="G55" i="5"/>
  <c r="F55" i="5"/>
  <c r="E55" i="5"/>
  <c r="D55" i="5"/>
  <c r="C55" i="5"/>
  <c r="A53" i="5"/>
  <c r="G50" i="5"/>
  <c r="F50" i="5"/>
  <c r="E50" i="5"/>
  <c r="D50" i="5"/>
  <c r="C50" i="5"/>
  <c r="G49" i="5"/>
  <c r="F49" i="5"/>
  <c r="E49" i="5"/>
  <c r="D49" i="5"/>
  <c r="C49" i="5"/>
  <c r="G48" i="5"/>
  <c r="F48" i="5"/>
  <c r="E48" i="5"/>
  <c r="D48" i="5"/>
  <c r="C48" i="5"/>
  <c r="A46" i="5"/>
  <c r="G43" i="5"/>
  <c r="F43" i="5"/>
  <c r="E43" i="5"/>
  <c r="D43" i="5"/>
  <c r="C43" i="5"/>
  <c r="G42" i="5"/>
  <c r="F42" i="5"/>
  <c r="E42" i="5"/>
  <c r="D42" i="5"/>
  <c r="C42" i="5"/>
  <c r="G41" i="5"/>
  <c r="F41" i="5"/>
  <c r="E41" i="5"/>
  <c r="D41" i="5"/>
  <c r="C41" i="5"/>
  <c r="A39" i="5"/>
  <c r="G36" i="5"/>
  <c r="F36" i="5"/>
  <c r="E36" i="5"/>
  <c r="D36" i="5"/>
  <c r="C36" i="5"/>
  <c r="G35" i="5"/>
  <c r="F35" i="5"/>
  <c r="E35" i="5"/>
  <c r="D35" i="5"/>
  <c r="C35" i="5"/>
  <c r="G34" i="5"/>
  <c r="F34" i="5"/>
  <c r="E34" i="5"/>
  <c r="D34" i="5"/>
  <c r="C34" i="5"/>
  <c r="A32" i="5"/>
  <c r="G29" i="5"/>
  <c r="F29" i="5"/>
  <c r="E29" i="5"/>
  <c r="D29" i="5"/>
  <c r="C29" i="5"/>
  <c r="G28" i="5"/>
  <c r="F28" i="5"/>
  <c r="E28" i="5"/>
  <c r="D28" i="5"/>
  <c r="C28" i="5"/>
  <c r="G27" i="5"/>
  <c r="F27" i="5"/>
  <c r="E27" i="5"/>
  <c r="D27" i="5"/>
  <c r="C27" i="5"/>
  <c r="A25" i="5"/>
  <c r="G22" i="5"/>
  <c r="F22" i="5"/>
  <c r="E22" i="5"/>
  <c r="D22" i="5"/>
  <c r="C22" i="5"/>
  <c r="G21" i="5"/>
  <c r="F21" i="5"/>
  <c r="E21" i="5"/>
  <c r="D21" i="5"/>
  <c r="C21" i="5"/>
  <c r="G20" i="5"/>
  <c r="F20" i="5"/>
  <c r="E20" i="5"/>
  <c r="D20" i="5"/>
  <c r="C20" i="5"/>
  <c r="A18" i="5"/>
  <c r="G14" i="5"/>
  <c r="F14" i="5"/>
  <c r="E14" i="5"/>
  <c r="D14" i="5"/>
  <c r="C14" i="5"/>
  <c r="G13" i="5"/>
  <c r="F13" i="5"/>
  <c r="E13" i="5"/>
  <c r="D13" i="5"/>
  <c r="C13" i="5"/>
  <c r="G12" i="5"/>
  <c r="F12" i="5"/>
  <c r="E12" i="5"/>
  <c r="D12" i="5"/>
  <c r="C12" i="5"/>
  <c r="A10" i="5"/>
  <c r="G6" i="5"/>
  <c r="F6" i="5"/>
  <c r="E6" i="5"/>
  <c r="D6" i="5"/>
  <c r="C6" i="5"/>
  <c r="G5" i="5"/>
  <c r="F5" i="5"/>
  <c r="E5" i="5"/>
  <c r="D5" i="5"/>
  <c r="C5" i="5"/>
  <c r="G4" i="5"/>
  <c r="F4" i="5"/>
  <c r="E4" i="5"/>
  <c r="D4" i="5"/>
  <c r="C4" i="5"/>
  <c r="A2" i="5"/>
  <c r="H62" i="9"/>
  <c r="G62" i="9"/>
  <c r="F62" i="9"/>
  <c r="E62" i="9"/>
  <c r="D62" i="9"/>
  <c r="I62" i="9" s="1"/>
  <c r="H61" i="9"/>
  <c r="G61" i="9"/>
  <c r="F61" i="9"/>
  <c r="E61" i="9"/>
  <c r="D61" i="9"/>
  <c r="I61" i="9" s="1"/>
  <c r="H60" i="9"/>
  <c r="G60" i="9"/>
  <c r="F60" i="9"/>
  <c r="E60" i="9"/>
  <c r="D60" i="9"/>
  <c r="I60" i="9" s="1"/>
  <c r="H59" i="9"/>
  <c r="G59" i="9"/>
  <c r="F59" i="9"/>
  <c r="E59" i="9"/>
  <c r="D59" i="9"/>
  <c r="I59" i="9" s="1"/>
  <c r="H58" i="9"/>
  <c r="G58" i="9"/>
  <c r="F58" i="9"/>
  <c r="E58" i="9"/>
  <c r="D58" i="9"/>
  <c r="I58" i="9" s="1"/>
  <c r="H57" i="9"/>
  <c r="G57" i="9"/>
  <c r="F57" i="9"/>
  <c r="E57" i="9"/>
  <c r="D57" i="9"/>
  <c r="I57" i="9" s="1"/>
  <c r="H56" i="9"/>
  <c r="G56" i="9"/>
  <c r="F56" i="9"/>
  <c r="E56" i="9"/>
  <c r="D56" i="9"/>
  <c r="I56" i="9" s="1"/>
  <c r="H55" i="9"/>
  <c r="G55" i="9"/>
  <c r="F55" i="9"/>
  <c r="E55" i="9"/>
  <c r="D55" i="9"/>
  <c r="I55" i="9" s="1"/>
  <c r="H54" i="9"/>
  <c r="G54" i="9"/>
  <c r="F54" i="9"/>
  <c r="E54" i="9"/>
  <c r="D54" i="9"/>
  <c r="I54" i="9" s="1"/>
  <c r="H53" i="9"/>
  <c r="G53" i="9"/>
  <c r="F53" i="9"/>
  <c r="E53" i="9"/>
  <c r="D53" i="9"/>
  <c r="I53" i="9" s="1"/>
  <c r="H52" i="9"/>
  <c r="G52" i="9"/>
  <c r="F52" i="9"/>
  <c r="E52" i="9"/>
  <c r="D52" i="9"/>
  <c r="I52" i="9" s="1"/>
  <c r="H51" i="9"/>
  <c r="G51" i="9"/>
  <c r="F51" i="9"/>
  <c r="E51" i="9"/>
  <c r="D51" i="9"/>
  <c r="I51" i="9" s="1"/>
  <c r="H50" i="9"/>
  <c r="G50" i="9"/>
  <c r="F50" i="9"/>
  <c r="E50" i="9"/>
  <c r="D50" i="9"/>
  <c r="I50" i="9" s="1"/>
  <c r="H49" i="9"/>
  <c r="G49" i="9"/>
  <c r="F49" i="9"/>
  <c r="E49" i="9"/>
  <c r="D49" i="9"/>
  <c r="I49" i="9" s="1"/>
  <c r="H48" i="9"/>
  <c r="G48" i="9"/>
  <c r="F48" i="9"/>
  <c r="E48" i="9"/>
  <c r="D48" i="9"/>
  <c r="I48" i="9" s="1"/>
  <c r="H47" i="9"/>
  <c r="G47" i="9"/>
  <c r="F47" i="9"/>
  <c r="E47" i="9"/>
  <c r="D47" i="9"/>
  <c r="I47" i="9" s="1"/>
  <c r="H46" i="9"/>
  <c r="G46" i="9"/>
  <c r="F46" i="9"/>
  <c r="E46" i="9"/>
  <c r="D46" i="9"/>
  <c r="I46" i="9" s="1"/>
  <c r="H45" i="9"/>
  <c r="G45" i="9"/>
  <c r="F45" i="9"/>
  <c r="F63" i="9" s="1"/>
  <c r="E45" i="9"/>
  <c r="D45" i="9"/>
  <c r="I45" i="9" s="1"/>
  <c r="D43" i="9"/>
  <c r="H42" i="9"/>
  <c r="G42" i="9"/>
  <c r="F42" i="9"/>
  <c r="E42" i="9"/>
  <c r="D42" i="9"/>
  <c r="I42" i="9" s="1"/>
  <c r="H41" i="9"/>
  <c r="G41" i="9"/>
  <c r="F41" i="9"/>
  <c r="E41" i="9"/>
  <c r="D41" i="9"/>
  <c r="I41" i="9" s="1"/>
  <c r="H40" i="9"/>
  <c r="G40" i="9"/>
  <c r="F40" i="9"/>
  <c r="E40" i="9"/>
  <c r="D40" i="9"/>
  <c r="I40" i="9" s="1"/>
  <c r="H39" i="9"/>
  <c r="G39" i="9"/>
  <c r="F39" i="9"/>
  <c r="E39" i="9"/>
  <c r="D39" i="9"/>
  <c r="I39" i="9" s="1"/>
  <c r="H38" i="9"/>
  <c r="G38" i="9"/>
  <c r="F38" i="9"/>
  <c r="E38" i="9"/>
  <c r="D38" i="9"/>
  <c r="I38" i="9" s="1"/>
  <c r="H37" i="9"/>
  <c r="G37" i="9"/>
  <c r="F37" i="9"/>
  <c r="E37" i="9"/>
  <c r="D37" i="9"/>
  <c r="I37" i="9" s="1"/>
  <c r="H36" i="9"/>
  <c r="G36" i="9"/>
  <c r="F36" i="9"/>
  <c r="E36" i="9"/>
  <c r="D36" i="9"/>
  <c r="I36" i="9" s="1"/>
  <c r="H35" i="9"/>
  <c r="G35" i="9"/>
  <c r="F35" i="9"/>
  <c r="E35" i="9"/>
  <c r="D35" i="9"/>
  <c r="I35" i="9" s="1"/>
  <c r="I34" i="9"/>
  <c r="H34" i="9"/>
  <c r="G34" i="9"/>
  <c r="F34" i="9"/>
  <c r="E34" i="9"/>
  <c r="D34" i="9"/>
  <c r="H33" i="9"/>
  <c r="G33" i="9"/>
  <c r="F33" i="9"/>
  <c r="E33" i="9"/>
  <c r="D33" i="9"/>
  <c r="I33" i="9" s="1"/>
  <c r="H32" i="9"/>
  <c r="G32" i="9"/>
  <c r="F32" i="9"/>
  <c r="E32" i="9"/>
  <c r="D32" i="9"/>
  <c r="I32" i="9" s="1"/>
  <c r="H31" i="9"/>
  <c r="G31" i="9"/>
  <c r="F31" i="9"/>
  <c r="E31" i="9"/>
  <c r="D31" i="9"/>
  <c r="I31" i="9" s="1"/>
  <c r="H30" i="9"/>
  <c r="G30" i="9"/>
  <c r="F30" i="9"/>
  <c r="E30" i="9"/>
  <c r="D30" i="9"/>
  <c r="I30" i="9" s="1"/>
  <c r="H29" i="9"/>
  <c r="G29" i="9"/>
  <c r="F29" i="9"/>
  <c r="E29" i="9"/>
  <c r="D29" i="9"/>
  <c r="I29" i="9" s="1"/>
  <c r="H28" i="9"/>
  <c r="G28" i="9"/>
  <c r="F28" i="9"/>
  <c r="E28" i="9"/>
  <c r="D28" i="9"/>
  <c r="I28" i="9" s="1"/>
  <c r="H27" i="9"/>
  <c r="G27" i="9"/>
  <c r="F27" i="9"/>
  <c r="E27" i="9"/>
  <c r="D27" i="9"/>
  <c r="I27" i="9" s="1"/>
  <c r="H26" i="9"/>
  <c r="G26" i="9"/>
  <c r="F26" i="9"/>
  <c r="E26" i="9"/>
  <c r="D26" i="9"/>
  <c r="I26" i="9" s="1"/>
  <c r="H25" i="9"/>
  <c r="G25" i="9"/>
  <c r="F25" i="9"/>
  <c r="E25" i="9"/>
  <c r="D25" i="9"/>
  <c r="I25" i="9" s="1"/>
  <c r="H21" i="9"/>
  <c r="G21" i="9"/>
  <c r="F21" i="9"/>
  <c r="E21" i="9"/>
  <c r="D21" i="9"/>
  <c r="I21" i="9" s="1"/>
  <c r="H20" i="9"/>
  <c r="G20" i="9"/>
  <c r="F20" i="9"/>
  <c r="E20" i="9"/>
  <c r="D20" i="9"/>
  <c r="I20" i="9" s="1"/>
  <c r="I19" i="9"/>
  <c r="H19" i="9"/>
  <c r="G19" i="9"/>
  <c r="F19" i="9"/>
  <c r="E19" i="9"/>
  <c r="D19" i="9"/>
  <c r="H18" i="9"/>
  <c r="G18" i="9"/>
  <c r="F18" i="9"/>
  <c r="E18" i="9"/>
  <c r="D18" i="9"/>
  <c r="I18" i="9" s="1"/>
  <c r="H17" i="9"/>
  <c r="G17" i="9"/>
  <c r="F17" i="9"/>
  <c r="E17" i="9"/>
  <c r="D17" i="9"/>
  <c r="I17" i="9" s="1"/>
  <c r="H16" i="9"/>
  <c r="G16" i="9"/>
  <c r="F16" i="9"/>
  <c r="E16" i="9"/>
  <c r="D16" i="9"/>
  <c r="I16" i="9" s="1"/>
  <c r="H15" i="9"/>
  <c r="G15" i="9"/>
  <c r="F15" i="9"/>
  <c r="E15" i="9"/>
  <c r="D15" i="9"/>
  <c r="I15" i="9" s="1"/>
  <c r="H14" i="9"/>
  <c r="G14" i="9"/>
  <c r="F14" i="9"/>
  <c r="E14" i="9"/>
  <c r="D14" i="9"/>
  <c r="I14" i="9" s="1"/>
  <c r="H13" i="9"/>
  <c r="G13" i="9"/>
  <c r="F13" i="9"/>
  <c r="E13" i="9"/>
  <c r="D13" i="9"/>
  <c r="I13" i="9" s="1"/>
  <c r="H12" i="9"/>
  <c r="G12" i="9"/>
  <c r="F12" i="9"/>
  <c r="E12" i="9"/>
  <c r="D12" i="9"/>
  <c r="I12" i="9" s="1"/>
  <c r="H11" i="9"/>
  <c r="G11" i="9"/>
  <c r="F11" i="9"/>
  <c r="E11" i="9"/>
  <c r="D11" i="9"/>
  <c r="I11" i="9" s="1"/>
  <c r="I10" i="9"/>
  <c r="H10" i="9"/>
  <c r="G10" i="9"/>
  <c r="F10" i="9"/>
  <c r="E10" i="9"/>
  <c r="D10" i="9"/>
  <c r="H9" i="9"/>
  <c r="G9" i="9"/>
  <c r="F9" i="9"/>
  <c r="E9" i="9"/>
  <c r="D9" i="9"/>
  <c r="I9" i="9" s="1"/>
  <c r="H8" i="9"/>
  <c r="G8" i="9"/>
  <c r="F8" i="9"/>
  <c r="E8" i="9"/>
  <c r="D8" i="9"/>
  <c r="I8" i="9" s="1"/>
  <c r="H7" i="9"/>
  <c r="G7" i="9"/>
  <c r="F7" i="9"/>
  <c r="F22" i="9" s="1"/>
  <c r="E7" i="9"/>
  <c r="E22" i="9" s="1"/>
  <c r="D7" i="9"/>
  <c r="I7" i="9" s="1"/>
  <c r="I6" i="9"/>
  <c r="H6" i="9"/>
  <c r="G6" i="9"/>
  <c r="F6" i="9"/>
  <c r="E6" i="9"/>
  <c r="D6" i="9"/>
  <c r="H5" i="9"/>
  <c r="G5" i="9"/>
  <c r="F5" i="9"/>
  <c r="E5" i="9"/>
  <c r="D5" i="9"/>
  <c r="I5" i="9" s="1"/>
  <c r="H4" i="9"/>
  <c r="G4" i="9"/>
  <c r="F4" i="9"/>
  <c r="E4" i="9"/>
  <c r="D4" i="9"/>
  <c r="B194" i="3"/>
  <c r="B193" i="3"/>
  <c r="D192" i="3"/>
  <c r="C192" i="3"/>
  <c r="B192" i="3"/>
  <c r="D191" i="3"/>
  <c r="C191" i="3"/>
  <c r="G191" i="3" s="1"/>
  <c r="B191" i="3"/>
  <c r="D190" i="3"/>
  <c r="C190" i="3"/>
  <c r="F190" i="3" s="1"/>
  <c r="B190" i="3"/>
  <c r="D189" i="3"/>
  <c r="C189" i="3"/>
  <c r="G189" i="3" s="1"/>
  <c r="B189" i="3"/>
  <c r="D188" i="3"/>
  <c r="C188" i="3"/>
  <c r="B188" i="3"/>
  <c r="A186" i="3"/>
  <c r="B185" i="3"/>
  <c r="D183" i="3"/>
  <c r="C183" i="3"/>
  <c r="G183" i="3" s="1"/>
  <c r="B183" i="3"/>
  <c r="D182" i="3"/>
  <c r="C182" i="3"/>
  <c r="G182" i="3" s="1"/>
  <c r="B182" i="3"/>
  <c r="D181" i="3"/>
  <c r="C181" i="3"/>
  <c r="E181" i="3" s="1"/>
  <c r="B181" i="3"/>
  <c r="D180" i="3"/>
  <c r="C180" i="3"/>
  <c r="G180" i="3" s="1"/>
  <c r="B180" i="3"/>
  <c r="D179" i="3"/>
  <c r="C179" i="3"/>
  <c r="B179" i="3"/>
  <c r="A177" i="3"/>
  <c r="B175" i="3"/>
  <c r="B174" i="3"/>
  <c r="D173" i="3"/>
  <c r="C173" i="3"/>
  <c r="B173" i="3"/>
  <c r="D172" i="3"/>
  <c r="C172" i="3"/>
  <c r="G172" i="3" s="1"/>
  <c r="B172" i="3"/>
  <c r="D171" i="3"/>
  <c r="C171" i="3"/>
  <c r="G171" i="3" s="1"/>
  <c r="B171" i="3"/>
  <c r="D170" i="3"/>
  <c r="C170" i="3"/>
  <c r="G170" i="3" s="1"/>
  <c r="B170" i="3"/>
  <c r="G169" i="3"/>
  <c r="F169" i="3"/>
  <c r="E169" i="3"/>
  <c r="D169" i="3"/>
  <c r="C169" i="3"/>
  <c r="B169" i="3"/>
  <c r="A167" i="3"/>
  <c r="B165" i="3"/>
  <c r="B164" i="3"/>
  <c r="D163" i="3"/>
  <c r="C163" i="3"/>
  <c r="G163" i="3" s="1"/>
  <c r="B163" i="3"/>
  <c r="D162" i="3"/>
  <c r="C162" i="3"/>
  <c r="G162" i="3" s="1"/>
  <c r="B162" i="3"/>
  <c r="D161" i="3"/>
  <c r="C161" i="3"/>
  <c r="B161" i="3"/>
  <c r="D160" i="3"/>
  <c r="C160" i="3"/>
  <c r="G160" i="3" s="1"/>
  <c r="B160" i="3"/>
  <c r="D159" i="3"/>
  <c r="C159" i="3"/>
  <c r="G159" i="3" s="1"/>
  <c r="B159" i="3"/>
  <c r="A157" i="3"/>
  <c r="B155" i="3"/>
  <c r="B154" i="3"/>
  <c r="D153" i="3"/>
  <c r="C153" i="3"/>
  <c r="B153" i="3"/>
  <c r="D152" i="3"/>
  <c r="C152" i="3"/>
  <c r="G152" i="3" s="1"/>
  <c r="B152" i="3"/>
  <c r="D151" i="3"/>
  <c r="C151" i="3"/>
  <c r="G151" i="3" s="1"/>
  <c r="B151" i="3"/>
  <c r="D150" i="3"/>
  <c r="C150" i="3"/>
  <c r="G150" i="3" s="1"/>
  <c r="B150" i="3"/>
  <c r="D149" i="3"/>
  <c r="C149" i="3"/>
  <c r="G149" i="3" s="1"/>
  <c r="B149" i="3"/>
  <c r="A147" i="3"/>
  <c r="B145" i="3"/>
  <c r="B144" i="3"/>
  <c r="D143" i="3"/>
  <c r="C143" i="3"/>
  <c r="F143" i="3" s="1"/>
  <c r="B143" i="3"/>
  <c r="D142" i="3"/>
  <c r="C142" i="3"/>
  <c r="G142" i="3" s="1"/>
  <c r="B142" i="3"/>
  <c r="D141" i="3"/>
  <c r="C141" i="3"/>
  <c r="B141" i="3"/>
  <c r="D140" i="3"/>
  <c r="C140" i="3"/>
  <c r="G140" i="3" s="1"/>
  <c r="B140" i="3"/>
  <c r="D139" i="3"/>
  <c r="C139" i="3"/>
  <c r="G139" i="3" s="1"/>
  <c r="B139" i="3"/>
  <c r="A137" i="3"/>
  <c r="B135" i="3"/>
  <c r="B134" i="3"/>
  <c r="D133" i="3"/>
  <c r="C133" i="3"/>
  <c r="B133" i="3"/>
  <c r="D132" i="3"/>
  <c r="C132" i="3"/>
  <c r="G132" i="3" s="1"/>
  <c r="B132" i="3"/>
  <c r="D131" i="3"/>
  <c r="C131" i="3"/>
  <c r="G131" i="3" s="1"/>
  <c r="B131" i="3"/>
  <c r="D130" i="3"/>
  <c r="C130" i="3"/>
  <c r="G130" i="3" s="1"/>
  <c r="B130" i="3"/>
  <c r="D129" i="3"/>
  <c r="C129" i="3"/>
  <c r="G129" i="3" s="1"/>
  <c r="B129" i="3"/>
  <c r="A127" i="3"/>
  <c r="B125" i="3"/>
  <c r="B124" i="3"/>
  <c r="D123" i="3"/>
  <c r="C123" i="3"/>
  <c r="F123" i="3" s="1"/>
  <c r="B123" i="3"/>
  <c r="D122" i="3"/>
  <c r="C122" i="3"/>
  <c r="G122" i="3" s="1"/>
  <c r="B122" i="3"/>
  <c r="D121" i="3"/>
  <c r="C121" i="3"/>
  <c r="B121" i="3"/>
  <c r="D120" i="3"/>
  <c r="C120" i="3"/>
  <c r="G120" i="3" s="1"/>
  <c r="B120" i="3"/>
  <c r="D119" i="3"/>
  <c r="C119" i="3"/>
  <c r="G119" i="3" s="1"/>
  <c r="B119" i="3"/>
  <c r="A117" i="3"/>
  <c r="B115" i="3"/>
  <c r="B114" i="3"/>
  <c r="D113" i="3"/>
  <c r="C113" i="3"/>
  <c r="B113" i="3"/>
  <c r="D112" i="3"/>
  <c r="C112" i="3"/>
  <c r="B112" i="3"/>
  <c r="D111" i="3"/>
  <c r="C111" i="3"/>
  <c r="G111" i="3" s="1"/>
  <c r="B111" i="3"/>
  <c r="D110" i="3"/>
  <c r="C110" i="3"/>
  <c r="G110" i="3" s="1"/>
  <c r="B110" i="3"/>
  <c r="D109" i="3"/>
  <c r="C109" i="3"/>
  <c r="E109" i="3" s="1"/>
  <c r="B109" i="3"/>
  <c r="A107" i="3"/>
  <c r="B105" i="3"/>
  <c r="B104" i="3"/>
  <c r="D103" i="3"/>
  <c r="C103" i="3"/>
  <c r="F103" i="3" s="1"/>
  <c r="B103" i="3"/>
  <c r="D102" i="3"/>
  <c r="C102" i="3"/>
  <c r="G102" i="3" s="1"/>
  <c r="B102" i="3"/>
  <c r="D101" i="3"/>
  <c r="C101" i="3"/>
  <c r="B101" i="3"/>
  <c r="D100" i="3"/>
  <c r="C100" i="3"/>
  <c r="G100" i="3" s="1"/>
  <c r="B100" i="3"/>
  <c r="D99" i="3"/>
  <c r="C99" i="3"/>
  <c r="G99" i="3" s="1"/>
  <c r="B99" i="3"/>
  <c r="A97" i="3"/>
  <c r="B95" i="3"/>
  <c r="B94" i="3"/>
  <c r="D93" i="3"/>
  <c r="C93" i="3"/>
  <c r="B93" i="3"/>
  <c r="D92" i="3"/>
  <c r="C92" i="3"/>
  <c r="G92" i="3" s="1"/>
  <c r="B92" i="3"/>
  <c r="D91" i="3"/>
  <c r="C91" i="3"/>
  <c r="F91" i="3" s="1"/>
  <c r="B91" i="3"/>
  <c r="D90" i="3"/>
  <c r="C90" i="3"/>
  <c r="G90" i="3" s="1"/>
  <c r="B90" i="3"/>
  <c r="D89" i="3"/>
  <c r="C89" i="3"/>
  <c r="E89" i="3" s="1"/>
  <c r="B89" i="3"/>
  <c r="A87" i="3"/>
  <c r="B85" i="3"/>
  <c r="B84" i="3"/>
  <c r="D83" i="3"/>
  <c r="C83" i="3"/>
  <c r="E83" i="3" s="1"/>
  <c r="B83" i="3"/>
  <c r="D82" i="3"/>
  <c r="C82" i="3"/>
  <c r="G82" i="3" s="1"/>
  <c r="B82" i="3"/>
  <c r="D81" i="3"/>
  <c r="C81" i="3"/>
  <c r="B81" i="3"/>
  <c r="D80" i="3"/>
  <c r="C80" i="3"/>
  <c r="G80" i="3" s="1"/>
  <c r="B80" i="3"/>
  <c r="D79" i="3"/>
  <c r="C79" i="3"/>
  <c r="G79" i="3" s="1"/>
  <c r="B79" i="3"/>
  <c r="A77" i="3"/>
  <c r="B75" i="3"/>
  <c r="B74" i="3"/>
  <c r="D73" i="3"/>
  <c r="C73" i="3"/>
  <c r="B73" i="3"/>
  <c r="D72" i="3"/>
  <c r="C72" i="3"/>
  <c r="G72" i="3" s="1"/>
  <c r="B72" i="3"/>
  <c r="D71" i="3"/>
  <c r="C71" i="3"/>
  <c r="G71" i="3" s="1"/>
  <c r="B71" i="3"/>
  <c r="D70" i="3"/>
  <c r="C70" i="3"/>
  <c r="G70" i="3" s="1"/>
  <c r="B70" i="3"/>
  <c r="D69" i="3"/>
  <c r="C69" i="3"/>
  <c r="E69" i="3" s="1"/>
  <c r="B69" i="3"/>
  <c r="A67" i="3"/>
  <c r="B65" i="3"/>
  <c r="B64" i="3"/>
  <c r="D63" i="3"/>
  <c r="C63" i="3"/>
  <c r="F63" i="3" s="1"/>
  <c r="B63" i="3"/>
  <c r="D62" i="3"/>
  <c r="C62" i="3"/>
  <c r="G62" i="3" s="1"/>
  <c r="B62" i="3"/>
  <c r="D61" i="3"/>
  <c r="C61" i="3"/>
  <c r="B61" i="3"/>
  <c r="D60" i="3"/>
  <c r="C60" i="3"/>
  <c r="G60" i="3" s="1"/>
  <c r="B60" i="3"/>
  <c r="D59" i="3"/>
  <c r="C59" i="3"/>
  <c r="B59" i="3"/>
  <c r="O57" i="3"/>
  <c r="N57" i="3"/>
  <c r="M57" i="3"/>
  <c r="L57" i="3"/>
  <c r="A57" i="3"/>
  <c r="O56" i="3"/>
  <c r="N56" i="3"/>
  <c r="M56" i="3"/>
  <c r="L56" i="3"/>
  <c r="O55" i="3"/>
  <c r="N55" i="3"/>
  <c r="M55" i="3"/>
  <c r="L55" i="3"/>
  <c r="B55" i="3"/>
  <c r="O54" i="3"/>
  <c r="N54" i="3"/>
  <c r="M54" i="3"/>
  <c r="L54" i="3"/>
  <c r="B54" i="3"/>
  <c r="O53" i="3"/>
  <c r="N53" i="3"/>
  <c r="M53" i="3"/>
  <c r="L53" i="3"/>
  <c r="D53" i="3"/>
  <c r="C53" i="3"/>
  <c r="F53" i="3" s="1"/>
  <c r="B53" i="3"/>
  <c r="O52" i="3"/>
  <c r="N52" i="3"/>
  <c r="M52" i="3"/>
  <c r="L52" i="3"/>
  <c r="D52" i="3"/>
  <c r="C52" i="3"/>
  <c r="G52" i="3" s="1"/>
  <c r="B52" i="3"/>
  <c r="O51" i="3"/>
  <c r="N51" i="3"/>
  <c r="M51" i="3"/>
  <c r="L51" i="3"/>
  <c r="D51" i="3"/>
  <c r="C51" i="3"/>
  <c r="G51" i="3" s="1"/>
  <c r="B51" i="3"/>
  <c r="O50" i="3"/>
  <c r="N50" i="3"/>
  <c r="M50" i="3"/>
  <c r="L50" i="3"/>
  <c r="D50" i="3"/>
  <c r="C50" i="3"/>
  <c r="G50" i="3" s="1"/>
  <c r="B50" i="3"/>
  <c r="O49" i="3"/>
  <c r="N49" i="3"/>
  <c r="M49" i="3"/>
  <c r="L49" i="3"/>
  <c r="D49" i="3"/>
  <c r="C49" i="3"/>
  <c r="G49" i="3" s="1"/>
  <c r="B49" i="3"/>
  <c r="O48" i="3"/>
  <c r="N48" i="3"/>
  <c r="M48" i="3"/>
  <c r="L48" i="3"/>
  <c r="O47" i="3"/>
  <c r="N47" i="3"/>
  <c r="M47" i="3"/>
  <c r="L47" i="3"/>
  <c r="A47" i="3"/>
  <c r="O46" i="3"/>
  <c r="N46" i="3"/>
  <c r="M46" i="3"/>
  <c r="L46" i="3"/>
  <c r="O45" i="3"/>
  <c r="N45" i="3"/>
  <c r="M45" i="3"/>
  <c r="L45" i="3"/>
  <c r="B45" i="3"/>
  <c r="O44" i="3"/>
  <c r="N44" i="3"/>
  <c r="M44" i="3"/>
  <c r="L44" i="3"/>
  <c r="B44" i="3"/>
  <c r="O43" i="3"/>
  <c r="N43" i="3"/>
  <c r="M43" i="3"/>
  <c r="L43" i="3"/>
  <c r="D43" i="3"/>
  <c r="C43" i="3"/>
  <c r="G43" i="3" s="1"/>
  <c r="B43" i="3"/>
  <c r="O42" i="3"/>
  <c r="N42" i="3"/>
  <c r="M42" i="3"/>
  <c r="L42" i="3"/>
  <c r="D42" i="3"/>
  <c r="C42" i="3"/>
  <c r="F42" i="3" s="1"/>
  <c r="B42" i="3"/>
  <c r="O41" i="3"/>
  <c r="N41" i="3"/>
  <c r="M41" i="3"/>
  <c r="L41" i="3"/>
  <c r="D41" i="3"/>
  <c r="C41" i="3"/>
  <c r="G41" i="3" s="1"/>
  <c r="B41" i="3"/>
  <c r="D40" i="3"/>
  <c r="C40" i="3"/>
  <c r="G40" i="3" s="1"/>
  <c r="B40" i="3"/>
  <c r="O39" i="3"/>
  <c r="N39" i="3"/>
  <c r="M39" i="3"/>
  <c r="L39" i="3"/>
  <c r="D39" i="3"/>
  <c r="C39" i="3"/>
  <c r="G39" i="3" s="1"/>
  <c r="B39" i="3"/>
  <c r="O38" i="3"/>
  <c r="N38" i="3"/>
  <c r="M38" i="3"/>
  <c r="L38" i="3"/>
  <c r="O37" i="3"/>
  <c r="N37" i="3"/>
  <c r="M37" i="3"/>
  <c r="L37" i="3"/>
  <c r="A37" i="3"/>
  <c r="O36" i="3"/>
  <c r="N36" i="3"/>
  <c r="M36" i="3"/>
  <c r="L36" i="3"/>
  <c r="O35" i="3"/>
  <c r="N35" i="3"/>
  <c r="M35" i="3"/>
  <c r="L35" i="3"/>
  <c r="O34" i="3"/>
  <c r="N34" i="3"/>
  <c r="M34" i="3"/>
  <c r="L34" i="3"/>
  <c r="B34" i="3"/>
  <c r="O33" i="3"/>
  <c r="N33" i="3"/>
  <c r="M33" i="3"/>
  <c r="L33" i="3"/>
  <c r="B33" i="3"/>
  <c r="O32" i="3"/>
  <c r="N32" i="3"/>
  <c r="M32" i="3"/>
  <c r="L32" i="3"/>
  <c r="D32" i="3"/>
  <c r="C32" i="3"/>
  <c r="E32" i="3" s="1"/>
  <c r="B32" i="3"/>
  <c r="O31" i="3"/>
  <c r="N31" i="3"/>
  <c r="M31" i="3"/>
  <c r="L31" i="3"/>
  <c r="D31" i="3"/>
  <c r="C31" i="3"/>
  <c r="B31" i="3"/>
  <c r="O30" i="3"/>
  <c r="N30" i="3"/>
  <c r="M30" i="3"/>
  <c r="L30" i="3"/>
  <c r="D30" i="3"/>
  <c r="C30" i="3"/>
  <c r="E30" i="3" s="1"/>
  <c r="B30" i="3"/>
  <c r="O29" i="3"/>
  <c r="N29" i="3"/>
  <c r="M29" i="3"/>
  <c r="L29" i="3"/>
  <c r="D29" i="3"/>
  <c r="C29" i="3"/>
  <c r="B29" i="3"/>
  <c r="O28" i="3"/>
  <c r="N28" i="3"/>
  <c r="M28" i="3"/>
  <c r="L28" i="3"/>
  <c r="D28" i="3"/>
  <c r="C28" i="3"/>
  <c r="G28" i="3" s="1"/>
  <c r="B28" i="3"/>
  <c r="O27" i="3"/>
  <c r="N27" i="3"/>
  <c r="M27" i="3"/>
  <c r="L27" i="3"/>
  <c r="O26" i="3"/>
  <c r="N26" i="3"/>
  <c r="M26" i="3"/>
  <c r="L26" i="3"/>
  <c r="A26" i="3"/>
  <c r="O25" i="3"/>
  <c r="N25" i="3"/>
  <c r="M25" i="3"/>
  <c r="L25" i="3"/>
  <c r="O24" i="3"/>
  <c r="N24" i="3"/>
  <c r="M24" i="3"/>
  <c r="L24" i="3"/>
  <c r="B24" i="3"/>
  <c r="O23" i="3"/>
  <c r="N23" i="3"/>
  <c r="M23" i="3"/>
  <c r="L23" i="3"/>
  <c r="B23" i="3"/>
  <c r="D22" i="3"/>
  <c r="C22" i="3"/>
  <c r="F22" i="3" s="1"/>
  <c r="B22" i="3"/>
  <c r="D21" i="3"/>
  <c r="C21" i="3"/>
  <c r="B21" i="3"/>
  <c r="O20" i="3"/>
  <c r="N20" i="3"/>
  <c r="M20" i="3"/>
  <c r="L20" i="3"/>
  <c r="D20" i="3"/>
  <c r="C20" i="3"/>
  <c r="G20" i="3" s="1"/>
  <c r="B20" i="3"/>
  <c r="O19" i="3"/>
  <c r="N19" i="3"/>
  <c r="M19" i="3"/>
  <c r="L19" i="3"/>
  <c r="D19" i="3"/>
  <c r="C19" i="3"/>
  <c r="G19" i="3" s="1"/>
  <c r="B19" i="3"/>
  <c r="O18" i="3"/>
  <c r="N18" i="3"/>
  <c r="M18" i="3"/>
  <c r="L18" i="3"/>
  <c r="D18" i="3"/>
  <c r="C18" i="3"/>
  <c r="G18" i="3" s="1"/>
  <c r="B18" i="3"/>
  <c r="O17" i="3"/>
  <c r="N17" i="3"/>
  <c r="M17" i="3"/>
  <c r="L17" i="3"/>
  <c r="O16" i="3"/>
  <c r="N16" i="3"/>
  <c r="M16" i="3"/>
  <c r="L16" i="3"/>
  <c r="A16" i="3"/>
  <c r="O15" i="3"/>
  <c r="N15" i="3"/>
  <c r="M15" i="3"/>
  <c r="L15" i="3"/>
  <c r="O14" i="3"/>
  <c r="N14" i="3"/>
  <c r="M14" i="3"/>
  <c r="L14" i="3"/>
  <c r="O13" i="3"/>
  <c r="N13" i="3"/>
  <c r="M13" i="3"/>
  <c r="L13" i="3"/>
  <c r="O12" i="3"/>
  <c r="N12" i="3"/>
  <c r="M12" i="3"/>
  <c r="L12" i="3"/>
  <c r="B12" i="3"/>
  <c r="O11" i="3"/>
  <c r="N11" i="3"/>
  <c r="M11" i="3"/>
  <c r="L11" i="3"/>
  <c r="B11" i="3"/>
  <c r="O10" i="3"/>
  <c r="N10" i="3"/>
  <c r="M10" i="3"/>
  <c r="L10" i="3"/>
  <c r="D10" i="3"/>
  <c r="C10" i="3"/>
  <c r="E10" i="3" s="1"/>
  <c r="B10" i="3"/>
  <c r="O9" i="3"/>
  <c r="N9" i="3"/>
  <c r="M9" i="3"/>
  <c r="L9" i="3"/>
  <c r="D9" i="3"/>
  <c r="C9" i="3"/>
  <c r="E9" i="3" s="1"/>
  <c r="B9" i="3"/>
  <c r="O8" i="3"/>
  <c r="N8" i="3"/>
  <c r="M8" i="3"/>
  <c r="L8" i="3"/>
  <c r="D8" i="3"/>
  <c r="C8" i="3"/>
  <c r="G8" i="3" s="1"/>
  <c r="B8" i="3"/>
  <c r="O7" i="3"/>
  <c r="N7" i="3"/>
  <c r="M7" i="3"/>
  <c r="L7" i="3"/>
  <c r="D7" i="3"/>
  <c r="C7" i="3"/>
  <c r="G7" i="3" s="1"/>
  <c r="B7" i="3"/>
  <c r="O6" i="3"/>
  <c r="N6" i="3"/>
  <c r="M6" i="3"/>
  <c r="L6" i="3"/>
  <c r="D6" i="3"/>
  <c r="C6" i="3"/>
  <c r="B6" i="3"/>
  <c r="O5" i="3"/>
  <c r="N5" i="3"/>
  <c r="M5" i="3"/>
  <c r="L5" i="3"/>
  <c r="O4" i="3"/>
  <c r="N4" i="3"/>
  <c r="M4" i="3"/>
  <c r="L4" i="3"/>
  <c r="A4" i="3"/>
  <c r="E3" i="3"/>
  <c r="P23" i="4"/>
  <c r="O23" i="4"/>
  <c r="N23" i="4"/>
  <c r="M23" i="4"/>
  <c r="L23" i="4"/>
  <c r="K23" i="4"/>
  <c r="J23" i="4"/>
  <c r="I23" i="4"/>
  <c r="H23" i="4"/>
  <c r="G23" i="4"/>
  <c r="F23" i="4"/>
  <c r="K22" i="4"/>
  <c r="I22" i="4"/>
  <c r="M21" i="4"/>
  <c r="K21" i="4"/>
  <c r="I21" i="4"/>
  <c r="M20" i="4"/>
  <c r="K20" i="4"/>
  <c r="I20" i="4"/>
  <c r="M19" i="4"/>
  <c r="K19" i="4"/>
  <c r="I19" i="4"/>
  <c r="M18" i="4"/>
  <c r="K18" i="4"/>
  <c r="I18" i="4"/>
  <c r="M17" i="4"/>
  <c r="K17" i="4"/>
  <c r="I17" i="4"/>
  <c r="M16" i="4"/>
  <c r="K16" i="4"/>
  <c r="I16" i="4"/>
  <c r="M15" i="4"/>
  <c r="K15" i="4"/>
  <c r="I15" i="4"/>
  <c r="M14" i="4"/>
  <c r="K14" i="4"/>
  <c r="I14" i="4"/>
  <c r="M13" i="4"/>
  <c r="K13" i="4"/>
  <c r="I13" i="4"/>
  <c r="M12" i="4"/>
  <c r="K12" i="4"/>
  <c r="I12" i="4"/>
  <c r="M11" i="4"/>
  <c r="K11" i="4"/>
  <c r="I11" i="4"/>
  <c r="M10" i="4"/>
  <c r="K10" i="4"/>
  <c r="I10" i="4"/>
  <c r="M9" i="4"/>
  <c r="K9" i="4"/>
  <c r="I9" i="4"/>
  <c r="M8" i="4"/>
  <c r="K8" i="4"/>
  <c r="I8" i="4"/>
  <c r="M7" i="4"/>
  <c r="K7" i="4"/>
  <c r="I7" i="4"/>
  <c r="M6" i="4"/>
  <c r="K6" i="4"/>
  <c r="I6" i="4"/>
  <c r="M5" i="4"/>
  <c r="K5" i="4"/>
  <c r="I5" i="4"/>
  <c r="E159" i="3" l="1"/>
  <c r="E149" i="3"/>
  <c r="F159" i="3"/>
  <c r="E139" i="3"/>
  <c r="F149" i="3"/>
  <c r="F191" i="3"/>
  <c r="G91" i="3"/>
  <c r="F139" i="3"/>
  <c r="D63" i="9"/>
  <c r="E92" i="3"/>
  <c r="F92" i="3"/>
  <c r="E72" i="3"/>
  <c r="F72" i="3"/>
  <c r="E8" i="3"/>
  <c r="F8" i="3"/>
  <c r="I4" i="9"/>
  <c r="D22" i="9"/>
  <c r="E131" i="3"/>
  <c r="F131" i="3"/>
  <c r="E111" i="3"/>
  <c r="G188" i="3"/>
  <c r="F188" i="3"/>
  <c r="E188" i="3"/>
  <c r="F111" i="3"/>
  <c r="E50" i="3"/>
  <c r="G69" i="3"/>
  <c r="F69" i="3"/>
  <c r="F50" i="3"/>
  <c r="G32" i="3"/>
  <c r="F32" i="3"/>
  <c r="F140" i="3"/>
  <c r="F120" i="3"/>
  <c r="G112" i="3"/>
  <c r="F112" i="3"/>
  <c r="E112" i="3"/>
  <c r="G59" i="3"/>
  <c r="F59" i="3"/>
  <c r="G179" i="3"/>
  <c r="F179" i="3"/>
  <c r="E179" i="3"/>
  <c r="E43" i="3"/>
  <c r="E59" i="3"/>
  <c r="F43" i="3"/>
  <c r="F9" i="3"/>
  <c r="E41" i="3"/>
  <c r="E151" i="3"/>
  <c r="G9" i="3"/>
  <c r="F41" i="3"/>
  <c r="E79" i="3"/>
  <c r="F151" i="3"/>
  <c r="F160" i="3"/>
  <c r="E7" i="3"/>
  <c r="F79" i="3"/>
  <c r="F89" i="3"/>
  <c r="E132" i="3"/>
  <c r="F7" i="3"/>
  <c r="F60" i="3"/>
  <c r="G89" i="3"/>
  <c r="F132" i="3"/>
  <c r="E171" i="3"/>
  <c r="F18" i="3"/>
  <c r="E99" i="3"/>
  <c r="F171" i="3"/>
  <c r="F180" i="3"/>
  <c r="E71" i="3"/>
  <c r="F99" i="3"/>
  <c r="F109" i="3"/>
  <c r="E152" i="3"/>
  <c r="F71" i="3"/>
  <c r="F80" i="3"/>
  <c r="G109" i="3"/>
  <c r="F152" i="3"/>
  <c r="E190" i="3"/>
  <c r="G22" i="3"/>
  <c r="F10" i="3"/>
  <c r="E119" i="3"/>
  <c r="E129" i="3"/>
  <c r="G190" i="3"/>
  <c r="G10" i="3"/>
  <c r="G42" i="3"/>
  <c r="E91" i="3"/>
  <c r="F119" i="3"/>
  <c r="F129" i="3"/>
  <c r="E172" i="3"/>
  <c r="F100" i="3"/>
  <c r="F172" i="3"/>
  <c r="E63" i="9"/>
  <c r="G173" i="3"/>
  <c r="F173" i="3"/>
  <c r="E173" i="3"/>
  <c r="G121" i="3"/>
  <c r="F121" i="3"/>
  <c r="G93" i="3"/>
  <c r="F93" i="3"/>
  <c r="E93" i="3"/>
  <c r="E121" i="3"/>
  <c r="F192" i="3"/>
  <c r="G192" i="3"/>
  <c r="G21" i="3"/>
  <c r="F21" i="3"/>
  <c r="E21" i="3"/>
  <c r="E192" i="3"/>
  <c r="F141" i="3"/>
  <c r="G141" i="3"/>
  <c r="G113" i="3"/>
  <c r="F113" i="3"/>
  <c r="E113" i="3"/>
  <c r="G61" i="3"/>
  <c r="F61" i="3"/>
  <c r="E141" i="3"/>
  <c r="E61" i="3"/>
  <c r="F43" i="9"/>
  <c r="F161" i="3"/>
  <c r="G161" i="3"/>
  <c r="G31" i="3"/>
  <c r="F31" i="3"/>
  <c r="G133" i="3"/>
  <c r="F133" i="3"/>
  <c r="E133" i="3"/>
  <c r="G81" i="3"/>
  <c r="F81" i="3"/>
  <c r="E161" i="3"/>
  <c r="E31" i="3"/>
  <c r="E81" i="3"/>
  <c r="E43" i="9"/>
  <c r="G6" i="3"/>
  <c r="F6" i="3"/>
  <c r="G181" i="3"/>
  <c r="F181" i="3"/>
  <c r="F153" i="3"/>
  <c r="E153" i="3"/>
  <c r="G153" i="3"/>
  <c r="E6" i="3"/>
  <c r="G101" i="3"/>
  <c r="F101" i="3"/>
  <c r="G73" i="3"/>
  <c r="F73" i="3"/>
  <c r="E73" i="3"/>
  <c r="E29" i="3"/>
  <c r="G29" i="3"/>
  <c r="F29" i="3"/>
  <c r="E101" i="3"/>
  <c r="E19" i="3"/>
  <c r="E39" i="3"/>
  <c r="E189" i="3"/>
  <c r="F19" i="3"/>
  <c r="F39" i="3"/>
  <c r="E51" i="3"/>
  <c r="G53" i="3"/>
  <c r="E70" i="3"/>
  <c r="E90" i="3"/>
  <c r="E110" i="3"/>
  <c r="E130" i="3"/>
  <c r="E150" i="3"/>
  <c r="E170" i="3"/>
  <c r="F189" i="3"/>
  <c r="F51" i="3"/>
  <c r="E62" i="3"/>
  <c r="F70" i="3"/>
  <c r="E82" i="3"/>
  <c r="F90" i="3"/>
  <c r="E102" i="3"/>
  <c r="F110" i="3"/>
  <c r="E122" i="3"/>
  <c r="F130" i="3"/>
  <c r="E142" i="3"/>
  <c r="F150" i="3"/>
  <c r="E162" i="3"/>
  <c r="F170" i="3"/>
  <c r="E182" i="3"/>
  <c r="E49" i="3"/>
  <c r="F62" i="3"/>
  <c r="F82" i="3"/>
  <c r="F102" i="3"/>
  <c r="F122" i="3"/>
  <c r="F142" i="3"/>
  <c r="F162" i="3"/>
  <c r="F182" i="3"/>
  <c r="E22" i="3"/>
  <c r="E42" i="3"/>
  <c r="F49" i="3"/>
  <c r="E53" i="3"/>
  <c r="E63" i="3"/>
  <c r="E123" i="3"/>
  <c r="E143" i="3"/>
  <c r="E163" i="3"/>
  <c r="E183" i="3"/>
  <c r="F83" i="3"/>
  <c r="F163" i="3"/>
  <c r="F183" i="3"/>
  <c r="E20" i="3"/>
  <c r="F30" i="3"/>
  <c r="E40" i="3"/>
  <c r="G63" i="3"/>
  <c r="G83" i="3"/>
  <c r="G103" i="3"/>
  <c r="G123" i="3"/>
  <c r="G143" i="3"/>
  <c r="F20" i="3"/>
  <c r="E28" i="3"/>
  <c r="G30" i="3"/>
  <c r="F40" i="3"/>
  <c r="E52" i="3"/>
  <c r="E18" i="3"/>
  <c r="F28" i="3"/>
  <c r="F52" i="3"/>
  <c r="E60" i="3"/>
  <c r="E80" i="3"/>
  <c r="E100" i="3"/>
  <c r="E120" i="3"/>
  <c r="E140" i="3"/>
  <c r="E160" i="3"/>
  <c r="E180" i="3"/>
  <c r="E191" i="3"/>
  <c r="E103" i="3"/>
</calcChain>
</file>

<file path=xl/sharedStrings.xml><?xml version="1.0" encoding="utf-8"?>
<sst xmlns="http://schemas.openxmlformats.org/spreadsheetml/2006/main" count="1010" uniqueCount="125">
  <si>
    <t>骏延集团2026年每月新媒体目标数据</t>
  </si>
  <si>
    <t>序号</t>
  </si>
  <si>
    <t>门店名称</t>
  </si>
  <si>
    <t>2026年5月新媒体目标数据</t>
  </si>
  <si>
    <t>投流目标</t>
  </si>
  <si>
    <t>直播场次
目标</t>
  </si>
  <si>
    <t>短视频发布数目标</t>
  </si>
  <si>
    <t>线索目标</t>
  </si>
  <si>
    <t>直播投流
目标</t>
  </si>
  <si>
    <t>短视频投流目标</t>
  </si>
  <si>
    <t>总投流
目标</t>
  </si>
  <si>
    <t>直播线索
目标</t>
  </si>
  <si>
    <t>直播场均线索目标</t>
  </si>
  <si>
    <t>短视频
线索目标</t>
  </si>
  <si>
    <t>短视频均条线索目标</t>
  </si>
  <si>
    <t>本地线索
目标</t>
  </si>
  <si>
    <t>总线索
目标</t>
  </si>
  <si>
    <t>厂家下发</t>
  </si>
  <si>
    <t>总到店
目标</t>
  </si>
  <si>
    <t>总订单
目标</t>
  </si>
  <si>
    <t>花都广本</t>
  </si>
  <si>
    <t>花都建设北零跑</t>
  </si>
  <si>
    <t>白云零跑</t>
  </si>
  <si>
    <t>花都传祺</t>
  </si>
  <si>
    <t>清远极氪</t>
  </si>
  <si>
    <t>清远广本</t>
  </si>
  <si>
    <t>鑫海广本</t>
  </si>
  <si>
    <t>汕头广本</t>
  </si>
  <si>
    <t>江门大众</t>
  </si>
  <si>
    <t>河源零跑</t>
  </si>
  <si>
    <t>汕头零跑</t>
  </si>
  <si>
    <t>清远港鸿</t>
  </si>
  <si>
    <t>从化零跑</t>
  </si>
  <si>
    <t>清远奇晟</t>
  </si>
  <si>
    <t>清远英德</t>
  </si>
  <si>
    <t>广花店</t>
  </si>
  <si>
    <t>北站店</t>
  </si>
  <si>
    <t>清远智己</t>
  </si>
  <si>
    <t>合计</t>
  </si>
  <si>
    <t>骏延集团2026年5月新媒体运营核心指标</t>
  </si>
  <si>
    <t>线索</t>
  </si>
  <si>
    <t>统计周期：</t>
  </si>
  <si>
    <t>5.1-5.24</t>
  </si>
  <si>
    <t>时间进度：</t>
  </si>
  <si>
    <t>4.1-4.5</t>
  </si>
  <si>
    <t>4.6-4.12</t>
  </si>
  <si>
    <t>4.13-4.19</t>
  </si>
  <si>
    <t>4.20-4.30</t>
  </si>
  <si>
    <t>KPI</t>
  </si>
  <si>
    <t>本周</t>
  </si>
  <si>
    <t>月累</t>
  </si>
  <si>
    <t>目标</t>
  </si>
  <si>
    <t>达成率</t>
  </si>
  <si>
    <t>进度差异</t>
  </si>
  <si>
    <t>离目标差异</t>
  </si>
  <si>
    <t>周趋势</t>
  </si>
  <si>
    <t>直播场次</t>
  </si>
  <si>
    <t>短视频发布数</t>
  </si>
  <si>
    <t>总线索</t>
  </si>
  <si>
    <t>总到店</t>
  </si>
  <si>
    <t>新媒体订单</t>
  </si>
  <si>
    <t>新媒体订单占零售订单比例</t>
  </si>
  <si>
    <t>厂家矩阵排名</t>
  </si>
  <si>
    <t>到店</t>
  </si>
  <si>
    <t>订单</t>
  </si>
  <si>
    <t>骏延集团2026年1-6月新媒体数据</t>
  </si>
  <si>
    <t xml:space="preserve">6月1日-14日（累计14天） </t>
  </si>
  <si>
    <t>投流</t>
  </si>
  <si>
    <t>直播
场次</t>
  </si>
  <si>
    <t>短视频
发布数量</t>
  </si>
  <si>
    <t>订单(新媒体）</t>
  </si>
  <si>
    <t>本月截止目前厂家
矩阵
排名</t>
  </si>
  <si>
    <t>直播
投流</t>
  </si>
  <si>
    <t>短视频投流</t>
  </si>
  <si>
    <t>总投流</t>
  </si>
  <si>
    <t>直播
线索</t>
  </si>
  <si>
    <t>短视频线索</t>
  </si>
  <si>
    <t>厂家下发线索</t>
  </si>
  <si>
    <t>本地
线索</t>
  </si>
  <si>
    <t>自然流线索数</t>
  </si>
  <si>
    <t>付费流线索数</t>
  </si>
  <si>
    <t>付费流线索成本(元/条）</t>
  </si>
  <si>
    <t>直播
到店</t>
  </si>
  <si>
    <t>短视频到店</t>
  </si>
  <si>
    <t>新媒体总订单</t>
  </si>
  <si>
    <t>直播
订单</t>
  </si>
  <si>
    <t>短视频订单</t>
  </si>
  <si>
    <t>当月新媒体订单占零售订单比例</t>
  </si>
  <si>
    <t>自然流线索
成交数</t>
  </si>
  <si>
    <t>自然流线索
成交率</t>
  </si>
  <si>
    <t>付费流线索
成交数</t>
  </si>
  <si>
    <t>付费流线索
成交率</t>
  </si>
  <si>
    <t>广花零跑</t>
  </si>
  <si>
    <t>花都北站零跑</t>
  </si>
  <si>
    <t>5.1-5.10</t>
  </si>
  <si>
    <t>5.11-5.17</t>
  </si>
  <si>
    <t>5.18-5.24</t>
  </si>
  <si>
    <t>4.20-4.26</t>
  </si>
  <si>
    <t>4.27-4.30</t>
  </si>
  <si>
    <t>每月订单对比</t>
  </si>
  <si>
    <t>每月新媒体订单占比</t>
  </si>
  <si>
    <t>店名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</si>
  <si>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</si>
  <si>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</si>
  <si>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</si>
  <si>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</si>
  <si>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</si>
  <si>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</si>
  <si>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</si>
  <si>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</si>
  <si>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</si>
  <si>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</si>
  <si>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</si>
  <si>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</si>
  <si>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每月总线索</t>
  </si>
  <si>
    <t>每月总到店数据</t>
  </si>
  <si>
    <t>特约店</t>
  </si>
  <si>
    <t>负责老师</t>
  </si>
  <si>
    <t>短视频发布</t>
  </si>
  <si>
    <t>投流费用</t>
  </si>
  <si>
    <t>花都零跑</t>
  </si>
  <si>
    <t>清远港鸿零跑</t>
  </si>
  <si>
    <t>清远奇晟零跑</t>
  </si>
  <si>
    <t>清远英德零跑</t>
  </si>
  <si>
    <t>北站零跑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</si>
</sst>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8" formatCode="0.0%"/>
    <numFmt numFmtId="179" formatCode="0_ ;[Red]\-0\ "/>
    <numFmt numFmtId="180" formatCode="0.00_ "/>
    <numFmt numFmtId="181" formatCode="0.0_);[Red]\(0.0\)"/>
    <numFmt numFmtId="183" formatCode="0_ "/>
  </numFmts>
  <fonts count="28">
    <font>
      <sz val="11"/>
      <color theme="1"/>
      <name val="等线"/>
      <charset val="134"/>
      <scheme val="minor"/>
    </font>
    <font>
      <sz val="11"/>
      <name val="等线"/>
      <scheme val="minor"/>
    </font>
    <font>
      <sz val="11"/>
      <color theme="1"/>
      <name val="宋体"/>
    </font>
    <font>
      <b/>
      <sz val="18"/>
      <color rgb="FF000000"/>
      <name val="微软雅黑"/>
      <family val="2"/>
    </font>
    <font>
      <b/>
      <sz val="12"/>
      <color rgb="FF000000"/>
      <name val="微软雅黑"/>
      <family val="2"/>
    </font>
    <font>
      <b/>
      <sz val="11"/>
      <color rgb="FF000000"/>
      <name val="微软雅黑"/>
      <family val="2"/>
    </font>
    <font>
      <sz val="14"/>
      <color rgb="FF000000"/>
      <name val="Segoe UI Symbol"/>
      <family val="2"/>
    </font>
    <font>
      <b/>
      <sz val="13"/>
      <color theme="1"/>
      <name val="微软雅黑"/>
      <family val="2"/>
    </font>
    <font>
      <b/>
      <sz val="13"/>
      <name val="微软雅黑"/>
      <family val="2"/>
    </font>
    <font>
      <b/>
      <sz val="12"/>
      <color theme="1"/>
      <name val="微软雅黑"/>
      <family val="2"/>
    </font>
    <font>
      <b/>
      <sz val="11"/>
      <color theme="1"/>
      <name val="微软雅黑"/>
      <family val="2"/>
    </font>
    <font>
      <b/>
      <sz val="24"/>
      <color theme="0"/>
      <name val="微软雅黑"/>
      <family val="2"/>
    </font>
    <font>
      <b/>
      <sz val="11"/>
      <color rgb="FFC00000"/>
      <name val="微软雅黑"/>
      <family val="2"/>
    </font>
    <font>
      <b/>
      <sz val="24"/>
      <color rgb="FFFFFFFF"/>
      <name val="微软雅黑"/>
      <family val="2"/>
    </font>
    <font>
      <b/>
      <sz val="16"/>
      <color rgb="FF000000"/>
      <name val="微软雅黑"/>
      <family val="2"/>
    </font>
    <font>
      <b/>
      <sz val="13"/>
      <color rgb="FF000000"/>
      <name val="微软雅黑"/>
      <family val="2"/>
    </font>
    <font>
      <b/>
      <sz val="14"/>
      <color rgb="FFC00000"/>
      <name val="微软雅黑"/>
      <family val="2"/>
    </font>
    <font>
      <sz val="12"/>
      <color rgb="FF000000"/>
      <name val="Microsoft YaHei"/>
      <family val="2"/>
    </font>
    <font>
      <b/>
      <sz val="12"/>
      <color rgb="FF000000"/>
      <name val="Microsoft YaHei"/>
      <family val="2"/>
    </font>
    <font>
      <b/>
      <sz val="13"/>
      <color rgb="FFC00000"/>
      <name val="微软雅黑"/>
      <family val="2"/>
    </font>
    <font>
      <b/>
      <sz val="12"/>
      <name val="微软雅黑"/>
      <family val="2"/>
    </font>
    <font>
      <b/>
      <sz val="12"/>
      <color rgb="FFC00000"/>
      <name val="微软雅黑"/>
      <family val="2"/>
    </font>
    <font>
      <sz val="11"/>
      <color theme="1"/>
      <name val="微软雅黑"/>
      <family val="2"/>
    </font>
    <font>
      <b/>
      <sz val="12"/>
      <color theme="0"/>
      <name val="微软雅黑"/>
      <family val="2"/>
    </font>
    <font>
      <sz val="14"/>
      <color theme="1"/>
      <name val="微软雅黑"/>
      <family val="2"/>
    </font>
    <font>
      <sz val="12"/>
      <name val="Microsoft YaHei"/>
      <family val="2"/>
    </font>
    <font>
      <sz val="11"/>
      <color theme="1"/>
      <name val="等线"/>
      <scheme val="minor"/>
    </font>
    <font>
      <sz val="9"/>
      <name val="等线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D8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5E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4" tint="0.79989013336588644"/>
        <bgColor indexed="64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 style="thin">
        <color theme="5" tint="0.39994506668294322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5" tint="0.39994506668294322"/>
      </left>
      <right style="thin">
        <color theme="5" tint="0.39994506668294322"/>
      </right>
      <top style="thin">
        <color theme="5" tint="0.39994506668294322"/>
      </top>
      <bottom/>
      <diagonal/>
    </border>
    <border>
      <left style="thin">
        <color theme="5" tint="0.39994506668294322"/>
      </left>
      <right style="thin">
        <color theme="5" tint="0.39994506668294322"/>
      </right>
      <top/>
      <bottom style="thin">
        <color theme="5" tint="0.39994506668294322"/>
      </bottom>
      <diagonal/>
    </border>
    <border>
      <left style="hair">
        <color theme="4" tint="0.39991454817346722"/>
      </left>
      <right style="hair">
        <color theme="4" tint="0.39991454817346722"/>
      </right>
      <top style="hair">
        <color theme="4" tint="0.39991454817346722"/>
      </top>
      <bottom/>
      <diagonal/>
    </border>
    <border>
      <left style="hair">
        <color theme="8" tint="0.59999389629810485"/>
      </left>
      <right style="hair">
        <color theme="8" tint="0.59999389629810485"/>
      </right>
      <top style="hair">
        <color theme="8" tint="0.59999389629810485"/>
      </top>
      <bottom style="hair">
        <color theme="8" tint="0.59999389629810485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theme="5" tint="0.39991454817346722"/>
      </left>
      <right style="hair">
        <color theme="5" tint="0.39991454817346722"/>
      </right>
      <top style="hair">
        <color theme="5" tint="0.39991454817346722"/>
      </top>
      <bottom style="hair">
        <color theme="5" tint="0.39991454817346722"/>
      </bottom>
      <diagonal/>
    </border>
    <border>
      <left/>
      <right/>
      <top/>
      <bottom style="hair">
        <color theme="4" tint="0.39991454817346722"/>
      </bottom>
      <diagonal/>
    </border>
    <border>
      <left style="hair">
        <color theme="8" tint="0.39991454817346722"/>
      </left>
      <right/>
      <top/>
      <bottom/>
      <diagonal/>
    </border>
    <border>
      <left/>
      <right/>
      <top/>
      <bottom style="hair">
        <color theme="8" tint="0.39991454817346722"/>
      </bottom>
      <diagonal/>
    </border>
    <border>
      <left style="thin">
        <color auto="1"/>
      </left>
      <right style="hair">
        <color theme="8" tint="0.39991454817346722"/>
      </right>
      <top style="hair">
        <color theme="8" tint="0.39991454817346722"/>
      </top>
      <bottom style="thin">
        <color auto="1"/>
      </bottom>
      <diagonal/>
    </border>
    <border>
      <left style="hair">
        <color theme="8" tint="0.39991454817346722"/>
      </left>
      <right/>
      <top style="hair">
        <color theme="8" tint="0.39991454817346722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1454817346722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8" tint="0.39991454817346722"/>
      </right>
      <top style="thin">
        <color auto="1"/>
      </top>
      <bottom style="double">
        <color theme="1" tint="0.499984740745262"/>
      </bottom>
      <diagonal/>
    </border>
    <border>
      <left style="hair">
        <color theme="8" tint="0.39991454817346722"/>
      </left>
      <right/>
      <top/>
      <bottom style="double">
        <color theme="1" tint="0.49998474074526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uble">
        <color rgb="FF808080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FFBA84"/>
      </left>
      <right/>
      <top style="thin">
        <color rgb="FFFFBA84"/>
      </top>
      <bottom style="thin">
        <color rgb="FFFFBA84"/>
      </bottom>
      <diagonal/>
    </border>
    <border>
      <left style="hair">
        <color theme="4" tint="0.39991454817346722"/>
      </left>
      <right/>
      <top/>
      <bottom/>
      <diagonal/>
    </border>
    <border>
      <left style="hair">
        <color theme="4" tint="0.39991454817346722"/>
      </left>
      <right style="hair">
        <color theme="4" tint="0.39991454817346722"/>
      </right>
      <top style="hair">
        <color theme="4" tint="0.39991454817346722"/>
      </top>
      <bottom style="hair">
        <color theme="4" tint="0.39991454817346722"/>
      </bottom>
      <diagonal/>
    </border>
    <border>
      <left style="hair">
        <color theme="9" tint="0.59999389629810485"/>
      </left>
      <right style="hair">
        <color theme="9" tint="0.59999389629810485"/>
      </right>
      <top style="hair">
        <color theme="9" tint="0.59999389629810485"/>
      </top>
      <bottom style="hair">
        <color theme="9" tint="0.59999389629810485"/>
      </bottom>
      <diagonal/>
    </border>
    <border>
      <left style="hair">
        <color theme="7" tint="0.59999389629810485"/>
      </left>
      <right style="hair">
        <color theme="7" tint="0.59999389629810485"/>
      </right>
      <top style="hair">
        <color theme="7" tint="0.59999389629810485"/>
      </top>
      <bottom style="hair">
        <color theme="7" tint="0.59999389629810485"/>
      </bottom>
      <diagonal/>
    </border>
    <border>
      <left style="hair">
        <color theme="4" tint="0.39991454817346722"/>
      </left>
      <right/>
      <top/>
      <bottom style="hair">
        <color theme="4" tint="0.39991454817346722"/>
      </bottom>
      <diagonal/>
    </border>
    <border>
      <left style="hair">
        <color theme="4" tint="0.39991454817346722"/>
      </left>
      <right/>
      <top style="hair">
        <color theme="4" tint="0.39991454817346722"/>
      </top>
      <bottom style="hair">
        <color theme="4" tint="0.39991454817346722"/>
      </bottom>
      <diagonal/>
    </border>
    <border>
      <left/>
      <right/>
      <top style="hair">
        <color theme="4" tint="0.39991454817346722"/>
      </top>
      <bottom style="hair">
        <color theme="4" tint="0.39991454817346722"/>
      </bottom>
      <diagonal/>
    </border>
    <border>
      <left/>
      <right/>
      <top style="hair">
        <color theme="4" tint="0.39991454817346722"/>
      </top>
      <bottom style="hair">
        <color theme="5" tint="0.59999389629810485"/>
      </bottom>
      <diagonal/>
    </border>
    <border>
      <left style="hair">
        <color theme="5" tint="0.59999389629810485"/>
      </left>
      <right/>
      <top/>
      <bottom/>
      <diagonal/>
    </border>
    <border>
      <left style="hair">
        <color theme="5" tint="0.59999389629810485"/>
      </left>
      <right style="hair">
        <color theme="5" tint="0.59999389629810485"/>
      </right>
      <top style="hair">
        <color theme="5" tint="0.59999389629810485"/>
      </top>
      <bottom/>
      <diagonal/>
    </border>
    <border>
      <left style="hair">
        <color theme="9" tint="0.59999389629810485"/>
      </left>
      <right/>
      <top style="hair">
        <color theme="9" tint="0.59999389629810485"/>
      </top>
      <bottom/>
      <diagonal/>
    </border>
    <border>
      <left style="hair">
        <color theme="9" tint="0.39991454817346722"/>
      </left>
      <right style="hair">
        <color theme="9" tint="0.39991454817346722"/>
      </right>
      <top style="hair">
        <color theme="9" tint="0.39991454817346722"/>
      </top>
      <bottom/>
      <diagonal/>
    </border>
    <border>
      <left/>
      <right/>
      <top style="hair">
        <color theme="4" tint="0.39991454817346722"/>
      </top>
      <bottom/>
      <diagonal/>
    </border>
    <border>
      <left style="hair">
        <color theme="8" tint="0.39991454817346722"/>
      </left>
      <right/>
      <top style="hair">
        <color theme="8" tint="0.39991454817346722"/>
      </top>
      <bottom style="hair">
        <color theme="8" tint="0.39991454817346722"/>
      </bottom>
      <diagonal/>
    </border>
    <border>
      <left/>
      <right/>
      <top style="hair">
        <color theme="8" tint="0.39991454817346722"/>
      </top>
      <bottom style="hair">
        <color theme="8" tint="0.39991454817346722"/>
      </bottom>
      <diagonal/>
    </border>
    <border>
      <left style="hair">
        <color theme="8" tint="0.39991454817346722"/>
      </left>
      <right style="hair">
        <color theme="8" tint="0.39991454817346722"/>
      </right>
      <top style="hair">
        <color theme="8" tint="0.39991454817346722"/>
      </top>
      <bottom/>
      <diagonal/>
    </border>
    <border>
      <left style="hair">
        <color theme="8" tint="0.39991454817346722"/>
      </left>
      <right style="hair">
        <color theme="8" tint="0.39991454817346722"/>
      </right>
      <top/>
      <bottom/>
      <diagonal/>
    </border>
    <border>
      <left/>
      <right style="thin">
        <color auto="1"/>
      </right>
      <top/>
      <bottom style="hair">
        <color theme="8" tint="0.39991454817346722"/>
      </bottom>
      <diagonal/>
    </border>
    <border>
      <left style="thin">
        <color auto="1"/>
      </left>
      <right style="thin">
        <color auto="1"/>
      </right>
      <top/>
      <bottom style="hair">
        <color theme="8" tint="0.39991454817346722"/>
      </bottom>
      <diagonal/>
    </border>
    <border>
      <left style="thin">
        <color auto="1"/>
      </left>
      <right/>
      <top/>
      <bottom style="hair">
        <color theme="8" tint="0.39991454817346722"/>
      </bottom>
      <diagonal/>
    </border>
    <border>
      <left style="hair">
        <color theme="8" tint="0.39991454817346722"/>
      </left>
      <right style="hair">
        <color theme="8" tint="0.39991454817346722"/>
      </right>
      <top/>
      <bottom style="thin">
        <color auto="1"/>
      </bottom>
      <diagonal/>
    </border>
    <border>
      <left/>
      <right style="hair">
        <color theme="8" tint="0.39991454817346722"/>
      </right>
      <top/>
      <bottom style="thin">
        <color auto="1"/>
      </bottom>
      <diagonal/>
    </border>
    <border>
      <left style="hair">
        <color theme="8" tint="0.39991454817346722"/>
      </left>
      <right/>
      <top/>
      <bottom style="hair">
        <color theme="8" tint="0.39991454817346722"/>
      </bottom>
      <diagonal/>
    </border>
    <border>
      <left style="hair">
        <color theme="8" tint="0.39991454817346722"/>
      </left>
      <right style="hair">
        <color theme="8" tint="0.39991454817346722"/>
      </right>
      <top/>
      <bottom style="hair">
        <color theme="8" tint="0.39991454817346722"/>
      </bottom>
      <diagonal/>
    </border>
    <border>
      <left style="hair">
        <color theme="8" tint="0.39991454817346722"/>
      </left>
      <right style="hair">
        <color theme="8" tint="0.39991454817346722"/>
      </right>
      <top style="hair">
        <color theme="8" tint="0.39991454817346722"/>
      </top>
      <bottom style="hair">
        <color theme="8" tint="0.39991454817346722"/>
      </bottom>
      <diagonal/>
    </border>
    <border>
      <left style="hair">
        <color theme="8" tint="0.39991454817346722"/>
      </left>
      <right style="hair">
        <color theme="8" tint="0.39991454817346722"/>
      </right>
      <top style="thin">
        <color auto="1"/>
      </top>
      <bottom style="hair">
        <color theme="8" tint="0.39991454817346722"/>
      </bottom>
      <diagonal/>
    </border>
    <border>
      <left/>
      <right/>
      <top style="thin">
        <color auto="1"/>
      </top>
      <bottom style="hair">
        <color theme="8" tint="0.39991454817346722"/>
      </bottom>
      <diagonal/>
    </border>
    <border>
      <left/>
      <right style="hair">
        <color theme="8" tint="0.39991454817346722"/>
      </right>
      <top style="hair">
        <color theme="8" tint="0.39991454817346722"/>
      </top>
      <bottom style="hair">
        <color theme="8" tint="0.39991454817346722"/>
      </bottom>
      <diagonal/>
    </border>
    <border>
      <left style="thin">
        <color rgb="FF98D7B6"/>
      </left>
      <right style="thin">
        <color rgb="FF98D7B6"/>
      </right>
      <top/>
      <bottom style="thin">
        <color rgb="FF98D7B6"/>
      </bottom>
      <diagonal/>
    </border>
    <border>
      <left style="thin">
        <color rgb="FF98D7B6"/>
      </left>
      <right style="thin">
        <color rgb="FF98D7B6"/>
      </right>
      <top style="thin">
        <color rgb="FF98D7B6"/>
      </top>
      <bottom style="thin">
        <color rgb="FF98D7B6"/>
      </bottom>
      <diagonal/>
    </border>
    <border>
      <left/>
      <right style="hair">
        <color theme="8" tint="0.39991454817346722"/>
      </right>
      <top/>
      <bottom/>
      <diagonal/>
    </border>
    <border>
      <left style="hair">
        <color theme="8" tint="0.39991454817346722"/>
      </left>
      <right style="hair">
        <color theme="8" tint="0.39991454817346722"/>
      </right>
      <top style="hair">
        <color theme="8" tint="0.39991454817346722"/>
      </top>
      <bottom style="hair">
        <color theme="4" tint="0.39991454817346722"/>
      </bottom>
      <diagonal/>
    </border>
    <border>
      <left/>
      <right style="hair">
        <color theme="8" tint="0.39991454817346722"/>
      </right>
      <top/>
      <bottom style="hair">
        <color theme="8" tint="0.39991454817346722"/>
      </bottom>
      <diagonal/>
    </border>
    <border>
      <left/>
      <right/>
      <top style="hair">
        <color theme="8" tint="0.39991454817346722"/>
      </top>
      <bottom style="hair">
        <color theme="4" tint="0.39991454817346722"/>
      </bottom>
      <diagonal/>
    </border>
  </borders>
  <cellStyleXfs count="8">
    <xf numFmtId="0" fontId="0" fillId="0" borderId="0"/>
    <xf numFmtId="0" fontId="22" fillId="31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6" fillId="0" borderId="0"/>
  </cellStyleXfs>
  <cellXfs count="269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0" fontId="0" fillId="0" borderId="1" xfId="0" applyNumberFormat="1" applyBorder="1"/>
    <xf numFmtId="0" fontId="0" fillId="0" borderId="1" xfId="0" applyBorder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7" fillId="6" borderId="7" xfId="1" applyNumberFormat="1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6" borderId="8" xfId="1" applyNumberFormat="1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0" borderId="8" xfId="1" applyNumberFormat="1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/>
    </xf>
    <xf numFmtId="0" fontId="9" fillId="8" borderId="0" xfId="0" applyFont="1" applyFill="1" applyAlignment="1">
      <alignment horizontal="center" vertical="center"/>
    </xf>
    <xf numFmtId="179" fontId="9" fillId="9" borderId="11" xfId="0" applyNumberFormat="1" applyFont="1" applyFill="1" applyBorder="1" applyAlignment="1">
      <alignment horizontal="center" vertical="center"/>
    </xf>
    <xf numFmtId="178" fontId="9" fillId="0" borderId="12" xfId="0" applyNumberFormat="1" applyFont="1" applyBorder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179" fontId="9" fillId="9" borderId="13" xfId="0" applyNumberFormat="1" applyFont="1" applyFill="1" applyBorder="1" applyAlignment="1">
      <alignment horizontal="center" vertical="center"/>
    </xf>
    <xf numFmtId="179" fontId="9" fillId="0" borderId="14" xfId="0" applyNumberFormat="1" applyFont="1" applyBorder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12" fillId="0" borderId="0" xfId="0" applyFont="1"/>
    <xf numFmtId="0" fontId="9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0" fontId="15" fillId="20" borderId="24" xfId="0" applyFont="1" applyFill="1" applyBorder="1" applyAlignment="1">
      <alignment horizontal="center" vertical="center" wrapText="1"/>
    </xf>
    <xf numFmtId="0" fontId="15" fillId="22" borderId="24" xfId="0" applyFont="1" applyFill="1" applyBorder="1" applyAlignment="1">
      <alignment horizontal="center" vertical="center" wrapText="1"/>
    </xf>
    <xf numFmtId="181" fontId="15" fillId="22" borderId="24" xfId="0" applyNumberFormat="1" applyFont="1" applyFill="1" applyBorder="1" applyAlignment="1">
      <alignment horizontal="center" vertical="center" wrapText="1"/>
    </xf>
    <xf numFmtId="0" fontId="15" fillId="23" borderId="24" xfId="0" applyFont="1" applyFill="1" applyBorder="1" applyAlignment="1">
      <alignment horizontal="center" vertical="center" wrapText="1"/>
    </xf>
    <xf numFmtId="0" fontId="15" fillId="24" borderId="24" xfId="0" applyFont="1" applyFill="1" applyBorder="1" applyAlignment="1">
      <alignment horizontal="center" vertical="center" wrapText="1"/>
    </xf>
    <xf numFmtId="0" fontId="7" fillId="15" borderId="7" xfId="1" applyNumberFormat="1" applyFont="1" applyFill="1" applyBorder="1" applyAlignment="1">
      <alignment horizontal="center" vertical="center"/>
    </xf>
    <xf numFmtId="0" fontId="7" fillId="15" borderId="7" xfId="1" applyNumberFormat="1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181" fontId="15" fillId="3" borderId="25" xfId="0" applyNumberFormat="1" applyFont="1" applyFill="1" applyBorder="1" applyAlignment="1">
      <alignment horizontal="center" vertical="center" wrapText="1"/>
    </xf>
    <xf numFmtId="0" fontId="15" fillId="3" borderId="26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178" fontId="15" fillId="3" borderId="25" xfId="0" applyNumberFormat="1" applyFont="1" applyFill="1" applyBorder="1" applyAlignment="1">
      <alignment horizontal="center" vertical="center" wrapText="1"/>
    </xf>
    <xf numFmtId="178" fontId="15" fillId="3" borderId="26" xfId="1" applyNumberFormat="1" applyFont="1" applyFill="1" applyBorder="1" applyAlignment="1">
      <alignment horizontal="center" vertical="center" wrapText="1"/>
    </xf>
    <xf numFmtId="0" fontId="15" fillId="3" borderId="26" xfId="1" applyNumberFormat="1" applyFont="1" applyFill="1" applyBorder="1" applyAlignment="1">
      <alignment horizontal="center" vertical="center" wrapText="1"/>
    </xf>
    <xf numFmtId="178" fontId="15" fillId="0" borderId="26" xfId="0" applyNumberFormat="1" applyFont="1" applyBorder="1" applyAlignment="1">
      <alignment horizontal="center" vertical="center" wrapText="1"/>
    </xf>
    <xf numFmtId="0" fontId="8" fillId="15" borderId="8" xfId="0" applyFont="1" applyFill="1" applyBorder="1" applyAlignment="1">
      <alignment horizontal="center" vertical="center" wrapText="1"/>
    </xf>
    <xf numFmtId="178" fontId="15" fillId="3" borderId="26" xfId="0" applyNumberFormat="1" applyFont="1" applyFill="1" applyBorder="1" applyAlignment="1">
      <alignment horizontal="center" vertical="center" wrapText="1"/>
    </xf>
    <xf numFmtId="0" fontId="8" fillId="15" borderId="8" xfId="1" applyNumberFormat="1" applyFont="1" applyFill="1" applyBorder="1" applyAlignment="1">
      <alignment horizontal="center" vertical="center" wrapText="1"/>
    </xf>
    <xf numFmtId="0" fontId="7" fillId="0" borderId="7" xfId="1" applyNumberFormat="1" applyFont="1" applyFill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181" fontId="15" fillId="0" borderId="25" xfId="0" applyNumberFormat="1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7" fillId="16" borderId="7" xfId="1" applyNumberFormat="1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181" fontId="15" fillId="16" borderId="25" xfId="0" applyNumberFormat="1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5" fillId="16" borderId="26" xfId="1" applyNumberFormat="1" applyFont="1" applyFill="1" applyBorder="1" applyAlignment="1">
      <alignment horizontal="center" vertical="center" wrapText="1"/>
    </xf>
    <xf numFmtId="178" fontId="15" fillId="16" borderId="26" xfId="0" applyNumberFormat="1" applyFont="1" applyFill="1" applyBorder="1" applyAlignment="1">
      <alignment horizontal="center" vertical="center" wrapText="1"/>
    </xf>
    <xf numFmtId="178" fontId="15" fillId="16" borderId="26" xfId="1" applyNumberFormat="1" applyFont="1" applyFill="1" applyBorder="1" applyAlignment="1">
      <alignment horizontal="center" vertical="center" wrapText="1"/>
    </xf>
    <xf numFmtId="0" fontId="15" fillId="16" borderId="25" xfId="0" applyFont="1" applyFill="1" applyBorder="1" applyAlignment="1">
      <alignment horizontal="center" vertical="center" wrapText="1"/>
    </xf>
    <xf numFmtId="9" fontId="15" fillId="0" borderId="26" xfId="0" applyNumberFormat="1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10" fontId="15" fillId="0" borderId="26" xfId="0" applyNumberFormat="1" applyFont="1" applyBorder="1" applyAlignment="1">
      <alignment horizontal="center" vertical="center" wrapText="1"/>
    </xf>
    <xf numFmtId="0" fontId="18" fillId="26" borderId="27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/>
    </xf>
    <xf numFmtId="49" fontId="7" fillId="15" borderId="8" xfId="0" applyNumberFormat="1" applyFont="1" applyFill="1" applyBorder="1" applyAlignment="1">
      <alignment horizontal="center" vertical="center"/>
    </xf>
    <xf numFmtId="0" fontId="19" fillId="0" borderId="26" xfId="0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179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9" fontId="9" fillId="0" borderId="12" xfId="0" applyNumberFormat="1" applyFont="1" applyBorder="1" applyAlignment="1">
      <alignment horizontal="center" vertical="center"/>
    </xf>
    <xf numFmtId="179" fontId="9" fillId="27" borderId="0" xfId="0" applyNumberFormat="1" applyFont="1" applyFill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0" borderId="29" xfId="0" applyFont="1" applyBorder="1" applyAlignment="1">
      <alignment horizontal="center" vertical="center"/>
    </xf>
    <xf numFmtId="178" fontId="21" fillId="0" borderId="12" xfId="0" applyNumberFormat="1" applyFont="1" applyBorder="1" applyAlignment="1">
      <alignment horizontal="center" vertical="center"/>
    </xf>
    <xf numFmtId="179" fontId="20" fillId="0" borderId="12" xfId="0" applyNumberFormat="1" applyFont="1" applyBorder="1" applyAlignment="1">
      <alignment horizontal="center" vertical="center"/>
    </xf>
    <xf numFmtId="183" fontId="9" fillId="0" borderId="0" xfId="0" applyNumberFormat="1" applyFont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178" fontId="20" fillId="0" borderId="14" xfId="0" applyNumberFormat="1" applyFont="1" applyBorder="1" applyAlignment="1">
      <alignment horizontal="center" vertical="center"/>
    </xf>
    <xf numFmtId="179" fontId="20" fillId="0" borderId="14" xfId="0" applyNumberFormat="1" applyFont="1" applyBorder="1" applyAlignment="1">
      <alignment horizontal="center" vertical="center"/>
    </xf>
    <xf numFmtId="178" fontId="21" fillId="0" borderId="14" xfId="0" applyNumberFormat="1" applyFont="1" applyBorder="1" applyAlignment="1">
      <alignment horizontal="center" vertical="center"/>
    </xf>
    <xf numFmtId="179" fontId="9" fillId="9" borderId="0" xfId="0" applyNumberFormat="1" applyFont="1" applyFill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178" fontId="20" fillId="0" borderId="30" xfId="0" applyNumberFormat="1" applyFont="1" applyBorder="1" applyAlignment="1">
      <alignment horizontal="center" vertical="center"/>
    </xf>
    <xf numFmtId="179" fontId="9" fillId="0" borderId="30" xfId="0" applyNumberFormat="1" applyFont="1" applyBorder="1" applyAlignment="1">
      <alignment horizontal="center" vertical="center"/>
    </xf>
    <xf numFmtId="178" fontId="21" fillId="0" borderId="30" xfId="0" applyNumberFormat="1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178" fontId="20" fillId="0" borderId="31" xfId="0" applyNumberFormat="1" applyFont="1" applyBorder="1" applyAlignment="1">
      <alignment horizontal="center" vertical="center"/>
    </xf>
    <xf numFmtId="179" fontId="9" fillId="0" borderId="31" xfId="0" applyNumberFormat="1" applyFont="1" applyBorder="1" applyAlignment="1">
      <alignment horizontal="center" vertical="center"/>
    </xf>
    <xf numFmtId="178" fontId="21" fillId="0" borderId="31" xfId="0" applyNumberFormat="1" applyFont="1" applyBorder="1" applyAlignment="1">
      <alignment horizontal="center" vertical="center"/>
    </xf>
    <xf numFmtId="0" fontId="9" fillId="9" borderId="29" xfId="0" applyFont="1" applyFill="1" applyBorder="1" applyAlignment="1">
      <alignment horizontal="center" vertical="center"/>
    </xf>
    <xf numFmtId="179" fontId="9" fillId="9" borderId="29" xfId="0" applyNumberFormat="1" applyFont="1" applyFill="1" applyBorder="1" applyAlignment="1">
      <alignment horizontal="center" vertical="center"/>
    </xf>
    <xf numFmtId="178" fontId="20" fillId="0" borderId="29" xfId="0" applyNumberFormat="1" applyFont="1" applyBorder="1" applyAlignment="1">
      <alignment horizontal="center" vertical="center"/>
    </xf>
    <xf numFmtId="179" fontId="9" fillId="0" borderId="29" xfId="0" applyNumberFormat="1" applyFont="1" applyBorder="1" applyAlignment="1">
      <alignment horizontal="center" vertical="center"/>
    </xf>
    <xf numFmtId="178" fontId="21" fillId="0" borderId="29" xfId="0" applyNumberFormat="1" applyFont="1" applyBorder="1" applyAlignment="1">
      <alignment horizontal="center" vertical="center"/>
    </xf>
    <xf numFmtId="0" fontId="9" fillId="9" borderId="37" xfId="0" applyFont="1" applyFill="1" applyBorder="1" applyAlignment="1">
      <alignment horizontal="center" vertical="center"/>
    </xf>
    <xf numFmtId="179" fontId="9" fillId="9" borderId="37" xfId="0" applyNumberFormat="1" applyFont="1" applyFill="1" applyBorder="1" applyAlignment="1">
      <alignment horizontal="center" vertical="center"/>
    </xf>
    <xf numFmtId="0" fontId="9" fillId="9" borderId="38" xfId="0" applyFont="1" applyFill="1" applyBorder="1" applyAlignment="1">
      <alignment horizontal="center" vertical="center"/>
    </xf>
    <xf numFmtId="0" fontId="9" fillId="9" borderId="39" xfId="0" applyFont="1" applyFill="1" applyBorder="1" applyAlignment="1">
      <alignment horizontal="center" vertical="center"/>
    </xf>
    <xf numFmtId="179" fontId="9" fillId="9" borderId="39" xfId="0" applyNumberFormat="1" applyFont="1" applyFill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178" fontId="9" fillId="0" borderId="29" xfId="0" applyNumberFormat="1" applyFont="1" applyBorder="1" applyAlignment="1">
      <alignment horizontal="center" vertical="center"/>
    </xf>
    <xf numFmtId="0" fontId="9" fillId="16" borderId="0" xfId="0" applyFont="1" applyFill="1" applyAlignment="1">
      <alignment horizontal="center" vertical="center"/>
    </xf>
    <xf numFmtId="0" fontId="0" fillId="0" borderId="16" xfId="0" applyBorder="1"/>
    <xf numFmtId="0" fontId="22" fillId="12" borderId="47" xfId="4" applyFill="1" applyBorder="1" applyAlignment="1">
      <alignment horizontal="center" vertical="center"/>
    </xf>
    <xf numFmtId="0" fontId="22" fillId="10" borderId="5" xfId="1" applyFill="1" applyBorder="1" applyAlignment="1">
      <alignment horizontal="center" vertical="center"/>
    </xf>
    <xf numFmtId="0" fontId="22" fillId="32" borderId="0" xfId="2" applyFill="1" applyBorder="1" applyAlignment="1">
      <alignment horizontal="center" vertical="center" wrapText="1"/>
    </xf>
    <xf numFmtId="0" fontId="22" fillId="32" borderId="41" xfId="2" applyFill="1" applyBorder="1" applyAlignment="1">
      <alignment horizontal="center" vertical="center" wrapText="1"/>
    </xf>
    <xf numFmtId="0" fontId="22" fillId="32" borderId="52" xfId="2" applyFill="1" applyBorder="1" applyAlignment="1">
      <alignment horizontal="center" vertical="center" wrapText="1"/>
    </xf>
    <xf numFmtId="0" fontId="22" fillId="34" borderId="52" xfId="5" applyFill="1" applyBorder="1" applyAlignment="1">
      <alignment horizontal="center" vertical="center" wrapText="1"/>
    </xf>
    <xf numFmtId="0" fontId="10" fillId="34" borderId="43" xfId="5" applyFont="1" applyFill="1" applyBorder="1" applyAlignment="1">
      <alignment horizontal="center" vertical="center" wrapText="1"/>
    </xf>
    <xf numFmtId="0" fontId="22" fillId="34" borderId="43" xfId="5" applyFill="1" applyBorder="1" applyAlignment="1">
      <alignment horizontal="center" vertical="center" wrapText="1"/>
    </xf>
    <xf numFmtId="0" fontId="10" fillId="12" borderId="52" xfId="4" applyFont="1" applyFill="1" applyBorder="1" applyAlignment="1">
      <alignment horizontal="center" vertical="center" wrapText="1"/>
    </xf>
    <xf numFmtId="0" fontId="10" fillId="10" borderId="52" xfId="1" applyFont="1" applyFill="1" applyBorder="1" applyAlignment="1">
      <alignment horizontal="center" vertical="center" wrapText="1"/>
    </xf>
    <xf numFmtId="0" fontId="22" fillId="0" borderId="52" xfId="1" applyNumberFormat="1" applyFill="1" applyBorder="1" applyAlignment="1">
      <alignment horizontal="center" vertical="center"/>
    </xf>
    <xf numFmtId="0" fontId="22" fillId="0" borderId="43" xfId="1" applyNumberFormat="1" applyFill="1" applyBorder="1" applyAlignment="1">
      <alignment horizontal="center" vertical="center" wrapText="1"/>
    </xf>
    <xf numFmtId="0" fontId="24" fillId="0" borderId="55" xfId="1" applyFont="1" applyFill="1" applyBorder="1" applyAlignment="1">
      <alignment horizontal="center" vertical="center"/>
    </xf>
    <xf numFmtId="0" fontId="24" fillId="0" borderId="43" xfId="1" applyFont="1" applyFill="1" applyBorder="1" applyAlignment="1">
      <alignment horizontal="center" vertical="center"/>
    </xf>
    <xf numFmtId="0" fontId="25" fillId="0" borderId="56" xfId="0" applyFont="1" applyBorder="1" applyAlignment="1">
      <alignment horizontal="center" wrapText="1"/>
    </xf>
    <xf numFmtId="183" fontId="25" fillId="0" borderId="57" xfId="0" applyNumberFormat="1" applyFont="1" applyBorder="1" applyAlignment="1">
      <alignment horizontal="center" wrapText="1"/>
    </xf>
    <xf numFmtId="0" fontId="25" fillId="0" borderId="57" xfId="0" applyFont="1" applyBorder="1" applyAlignment="1">
      <alignment horizontal="center" wrapText="1"/>
    </xf>
    <xf numFmtId="0" fontId="22" fillId="0" borderId="52" xfId="0" applyFont="1" applyBorder="1" applyAlignment="1">
      <alignment horizontal="center" vertical="center"/>
    </xf>
    <xf numFmtId="0" fontId="22" fillId="0" borderId="52" xfId="1" applyNumberFormat="1" applyFill="1" applyBorder="1" applyAlignment="1">
      <alignment horizontal="center" vertical="center" wrapText="1"/>
    </xf>
    <xf numFmtId="0" fontId="24" fillId="0" borderId="55" xfId="0" applyFont="1" applyBorder="1" applyAlignment="1">
      <alignment horizontal="center" vertical="center"/>
    </xf>
    <xf numFmtId="0" fontId="24" fillId="0" borderId="52" xfId="0" applyFont="1" applyBorder="1" applyAlignment="1">
      <alignment horizontal="center" vertical="center"/>
    </xf>
    <xf numFmtId="0" fontId="24" fillId="0" borderId="52" xfId="1" applyFont="1" applyFill="1" applyBorder="1" applyAlignment="1">
      <alignment horizontal="center" vertical="center"/>
    </xf>
    <xf numFmtId="0" fontId="22" fillId="0" borderId="44" xfId="0" applyFont="1" applyBorder="1" applyAlignment="1">
      <alignment horizontal="center" vertical="center" wrapText="1"/>
    </xf>
    <xf numFmtId="0" fontId="22" fillId="0" borderId="58" xfId="1" applyNumberFormat="1" applyFill="1" applyBorder="1" applyAlignment="1">
      <alignment horizontal="center" vertical="center"/>
    </xf>
    <xf numFmtId="0" fontId="24" fillId="0" borderId="44" xfId="1" applyFont="1" applyFill="1" applyBorder="1" applyAlignment="1">
      <alignment horizontal="center" vertical="center"/>
    </xf>
    <xf numFmtId="0" fontId="24" fillId="0" borderId="58" xfId="1" applyFont="1" applyFill="1" applyBorder="1" applyAlignment="1">
      <alignment horizontal="center" vertical="center"/>
    </xf>
    <xf numFmtId="0" fontId="25" fillId="0" borderId="57" xfId="0" applyFont="1" applyBorder="1" applyAlignment="1">
      <alignment horizontal="center"/>
    </xf>
    <xf numFmtId="0" fontId="22" fillId="0" borderId="51" xfId="0" applyFont="1" applyBorder="1" applyAlignment="1">
      <alignment horizontal="center" vertical="center"/>
    </xf>
    <xf numFmtId="0" fontId="22" fillId="0" borderId="59" xfId="0" applyFont="1" applyBorder="1" applyAlignment="1">
      <alignment horizontal="center" vertical="center"/>
    </xf>
    <xf numFmtId="0" fontId="24" fillId="0" borderId="60" xfId="0" applyFont="1" applyBorder="1" applyAlignment="1">
      <alignment horizontal="center" vertical="center"/>
    </xf>
    <xf numFmtId="0" fontId="24" fillId="0" borderId="51" xfId="0" applyFont="1" applyBorder="1" applyAlignment="1">
      <alignment horizontal="center" vertical="center"/>
    </xf>
    <xf numFmtId="0" fontId="0" fillId="0" borderId="61" xfId="0" applyBorder="1"/>
    <xf numFmtId="0" fontId="22" fillId="0" borderId="58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 wrapText="1"/>
    </xf>
    <xf numFmtId="49" fontId="22" fillId="0" borderId="59" xfId="0" applyNumberFormat="1" applyFont="1" applyBorder="1" applyAlignment="1">
      <alignment horizontal="center" vertical="center"/>
    </xf>
    <xf numFmtId="0" fontId="11" fillId="17" borderId="16" xfId="0" applyFont="1" applyFill="1" applyBorder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3" fillId="18" borderId="0" xfId="0" applyFont="1" applyFill="1" applyAlignment="1">
      <alignment horizontal="center" vertical="center"/>
    </xf>
    <xf numFmtId="49" fontId="14" fillId="19" borderId="20" xfId="1" applyNumberFormat="1" applyFont="1" applyFill="1" applyBorder="1" applyAlignment="1">
      <alignment horizontal="center" vertical="center" wrapText="1"/>
    </xf>
    <xf numFmtId="0" fontId="15" fillId="20" borderId="20" xfId="0" applyFont="1" applyFill="1" applyBorder="1" applyAlignment="1">
      <alignment horizontal="center" vertical="center" wrapText="1"/>
    </xf>
    <xf numFmtId="0" fontId="15" fillId="22" borderId="20" xfId="0" applyFont="1" applyFill="1" applyBorder="1" applyAlignment="1">
      <alignment horizontal="center" vertical="center" wrapText="1"/>
    </xf>
    <xf numFmtId="0" fontId="15" fillId="23" borderId="20" xfId="0" applyFont="1" applyFill="1" applyBorder="1" applyAlignment="1">
      <alignment horizontal="center" vertical="center" wrapText="1"/>
    </xf>
    <xf numFmtId="0" fontId="15" fillId="24" borderId="20" xfId="0" applyFont="1" applyFill="1" applyBorder="1" applyAlignment="1">
      <alignment horizontal="center" vertical="center" wrapText="1"/>
    </xf>
    <xf numFmtId="0" fontId="7" fillId="15" borderId="18" xfId="1" applyFont="1" applyFill="1" applyBorder="1" applyAlignment="1">
      <alignment horizontal="center" vertical="center"/>
    </xf>
    <xf numFmtId="0" fontId="7" fillId="15" borderId="21" xfId="1" applyFont="1" applyFill="1" applyBorder="1" applyAlignment="1">
      <alignment horizontal="center" vertical="center"/>
    </xf>
    <xf numFmtId="0" fontId="7" fillId="15" borderId="22" xfId="1" applyFont="1" applyFill="1" applyBorder="1" applyAlignment="1">
      <alignment horizontal="center" vertical="center"/>
    </xf>
    <xf numFmtId="49" fontId="7" fillId="15" borderId="19" xfId="1" applyNumberFormat="1" applyFont="1" applyFill="1" applyBorder="1" applyAlignment="1">
      <alignment horizontal="center" vertical="center" wrapText="1"/>
    </xf>
    <xf numFmtId="49" fontId="7" fillId="15" borderId="16" xfId="1" applyNumberFormat="1" applyFont="1" applyFill="1" applyBorder="1" applyAlignment="1">
      <alignment horizontal="center" vertical="center" wrapText="1"/>
    </xf>
    <xf numFmtId="49" fontId="7" fillId="15" borderId="23" xfId="1" applyNumberFormat="1" applyFont="1" applyFill="1" applyBorder="1" applyAlignment="1">
      <alignment horizontal="center" vertical="center" wrapText="1"/>
    </xf>
    <xf numFmtId="0" fontId="15" fillId="21" borderId="20" xfId="0" applyFont="1" applyFill="1" applyBorder="1" applyAlignment="1">
      <alignment horizontal="center" vertical="center" wrapText="1"/>
    </xf>
    <xf numFmtId="0" fontId="15" fillId="21" borderId="24" xfId="0" applyFont="1" applyFill="1" applyBorder="1" applyAlignment="1">
      <alignment horizontal="center" vertical="center" wrapText="1"/>
    </xf>
    <xf numFmtId="0" fontId="15" fillId="25" borderId="20" xfId="0" applyFont="1" applyFill="1" applyBorder="1" applyAlignment="1">
      <alignment horizontal="center" vertical="center" wrapText="1"/>
    </xf>
    <xf numFmtId="0" fontId="15" fillId="25" borderId="24" xfId="0" applyFont="1" applyFill="1" applyBorder="1" applyAlignment="1">
      <alignment horizontal="center" vertical="center" wrapText="1"/>
    </xf>
    <xf numFmtId="0" fontId="11" fillId="17" borderId="41" xfId="0" applyFont="1" applyFill="1" applyBorder="1" applyAlignment="1">
      <alignment horizontal="center" vertical="center"/>
    </xf>
    <xf numFmtId="0" fontId="11" fillId="17" borderId="42" xfId="0" applyFont="1" applyFill="1" applyBorder="1" applyAlignment="1">
      <alignment horizontal="center" vertical="center"/>
    </xf>
    <xf numFmtId="0" fontId="9" fillId="31" borderId="42" xfId="0" applyFont="1" applyFill="1" applyBorder="1" applyAlignment="1">
      <alignment horizontal="center" vertical="center"/>
    </xf>
    <xf numFmtId="0" fontId="23" fillId="31" borderId="42" xfId="0" applyFont="1" applyFill="1" applyBorder="1" applyAlignment="1">
      <alignment horizontal="center" vertical="center"/>
    </xf>
    <xf numFmtId="0" fontId="22" fillId="32" borderId="45" xfId="2" applyFill="1" applyBorder="1" applyAlignment="1">
      <alignment horizontal="center" vertical="center" wrapText="1"/>
    </xf>
    <xf numFmtId="0" fontId="22" fillId="32" borderId="46" xfId="2" applyFill="1" applyBorder="1" applyAlignment="1">
      <alignment horizontal="center" vertical="center" wrapText="1"/>
    </xf>
    <xf numFmtId="0" fontId="22" fillId="32" borderId="47" xfId="2" applyFill="1" applyBorder="1" applyAlignment="1">
      <alignment horizontal="center" vertical="center" wrapText="1"/>
    </xf>
    <xf numFmtId="0" fontId="22" fillId="34" borderId="50" xfId="5" applyFill="1" applyBorder="1" applyAlignment="1">
      <alignment horizontal="center" vertical="center"/>
    </xf>
    <xf numFmtId="0" fontId="22" fillId="34" borderId="17" xfId="5" applyFill="1" applyBorder="1" applyAlignment="1">
      <alignment horizontal="center" vertical="center"/>
    </xf>
    <xf numFmtId="0" fontId="22" fillId="0" borderId="43" xfId="1" applyFill="1" applyBorder="1" applyAlignment="1">
      <alignment horizontal="center" vertical="center"/>
    </xf>
    <xf numFmtId="0" fontId="22" fillId="0" borderId="44" xfId="1" applyFill="1" applyBorder="1" applyAlignment="1">
      <alignment horizontal="center" vertical="center"/>
    </xf>
    <xf numFmtId="0" fontId="22" fillId="0" borderId="51" xfId="1" applyFill="1" applyBorder="1" applyAlignment="1">
      <alignment horizontal="center" vertical="center"/>
    </xf>
    <xf numFmtId="49" fontId="22" fillId="0" borderId="43" xfId="1" applyNumberFormat="1" applyFill="1" applyBorder="1" applyAlignment="1">
      <alignment horizontal="center" vertical="center" wrapText="1"/>
    </xf>
    <xf numFmtId="49" fontId="22" fillId="0" borderId="44" xfId="1" applyNumberFormat="1" applyFill="1" applyBorder="1" applyAlignment="1">
      <alignment horizontal="center" vertical="center" wrapText="1"/>
    </xf>
    <xf numFmtId="49" fontId="22" fillId="0" borderId="51" xfId="1" applyNumberFormat="1" applyFill="1" applyBorder="1" applyAlignment="1">
      <alignment horizontal="center" vertical="center" wrapText="1"/>
    </xf>
    <xf numFmtId="0" fontId="10" fillId="33" borderId="48" xfId="3" applyFont="1" applyFill="1" applyBorder="1" applyAlignment="1">
      <alignment horizontal="center" vertical="center" wrapText="1"/>
    </xf>
    <xf numFmtId="0" fontId="10" fillId="33" borderId="53" xfId="3" applyFont="1" applyFill="1" applyBorder="1" applyAlignment="1">
      <alignment horizontal="center" vertical="center" wrapText="1"/>
    </xf>
    <xf numFmtId="0" fontId="10" fillId="33" borderId="49" xfId="3" applyFont="1" applyFill="1" applyBorder="1" applyAlignment="1">
      <alignment horizontal="center" vertical="center" wrapText="1"/>
    </xf>
    <xf numFmtId="0" fontId="10" fillId="33" borderId="54" xfId="3" applyFont="1" applyFill="1" applyBorder="1" applyAlignment="1">
      <alignment horizontal="center" vertical="center" wrapText="1"/>
    </xf>
    <xf numFmtId="14" fontId="9" fillId="0" borderId="0" xfId="0" applyNumberFormat="1" applyFont="1" applyAlignment="1">
      <alignment horizontal="left" vertical="center"/>
    </xf>
    <xf numFmtId="0" fontId="9" fillId="8" borderId="28" xfId="0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178" fontId="20" fillId="0" borderId="12" xfId="0" applyNumberFormat="1" applyFont="1" applyBorder="1" applyAlignment="1">
      <alignment horizontal="center"/>
    </xf>
    <xf numFmtId="183" fontId="9" fillId="0" borderId="12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178" fontId="20" fillId="0" borderId="14" xfId="0" applyNumberFormat="1" applyFont="1" applyBorder="1" applyAlignment="1">
      <alignment horizontal="center" vertical="center"/>
    </xf>
    <xf numFmtId="183" fontId="9" fillId="0" borderId="14" xfId="0" applyNumberFormat="1" applyFont="1" applyBorder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178" fontId="20" fillId="0" borderId="30" xfId="0" applyNumberFormat="1" applyFont="1" applyBorder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178" fontId="20" fillId="0" borderId="31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8" borderId="32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183" fontId="9" fillId="0" borderId="33" xfId="0" applyNumberFormat="1" applyFont="1" applyBorder="1" applyAlignment="1">
      <alignment horizontal="center" vertical="center"/>
    </xf>
    <xf numFmtId="183" fontId="9" fillId="0" borderId="34" xfId="0" applyNumberFormat="1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10" borderId="36" xfId="0" applyFont="1" applyFill="1" applyBorder="1" applyAlignment="1">
      <alignment horizontal="center" vertical="center"/>
    </xf>
    <xf numFmtId="178" fontId="9" fillId="0" borderId="30" xfId="0" applyNumberFormat="1" applyFont="1" applyBorder="1" applyAlignment="1">
      <alignment horizontal="center" vertical="center"/>
    </xf>
    <xf numFmtId="183" fontId="9" fillId="0" borderId="30" xfId="0" applyNumberFormat="1" applyFont="1" applyBorder="1" applyAlignment="1">
      <alignment horizontal="center" vertical="center"/>
    </xf>
    <xf numFmtId="178" fontId="9" fillId="0" borderId="31" xfId="0" applyNumberFormat="1" applyFont="1" applyBorder="1" applyAlignment="1">
      <alignment horizontal="center" vertical="center"/>
    </xf>
    <xf numFmtId="183" fontId="9" fillId="0" borderId="31" xfId="0" applyNumberFormat="1" applyFont="1" applyBorder="1" applyAlignment="1">
      <alignment horizontal="center" vertical="center"/>
    </xf>
    <xf numFmtId="178" fontId="20" fillId="0" borderId="29" xfId="0" applyNumberFormat="1" applyFont="1" applyBorder="1" applyAlignment="1">
      <alignment horizontal="center" vertical="center"/>
    </xf>
    <xf numFmtId="183" fontId="9" fillId="0" borderId="4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9" fillId="13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9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16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8">
    <cellStyle name="20% - 着色 1" xfId="1" builtinId="30"/>
    <cellStyle name="20% - 着色 1 2" xfId="6" xr:uid="{00000000-0005-0000-0000-000031000000}"/>
    <cellStyle name="20% - 着色 4" xfId="2" builtinId="42"/>
    <cellStyle name="60% - 着色 4" xfId="3" builtinId="44"/>
    <cellStyle name="60% - 着色 5" xfId="4" builtinId="48"/>
    <cellStyle name="60% - 着色 6" xfId="5" builtinId="52"/>
    <cellStyle name="常规" xfId="0" builtinId="0"/>
    <cellStyle name="常规 2" xfId="7" xr:uid="{00000000-0005-0000-0000-000032000000}"/>
  </cellStyles>
  <dxfs count="0"/>
  <tableStyles count="0" defaultTableStyle="TableStyleMedium2" defaultPivotStyle="PivotStyleLight16"/>
  <colors>
    <mruColors>
      <color rgb="FFFFCC00"/>
      <color rgb="FFFAD8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3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4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5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9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0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1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2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3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4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/>
              <a:t>线索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8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数据2!$D$3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数据2!$D$4:$D$20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FA-4DFF-992E-DD49E4359DA6}"/>
            </c:ext>
          </c:extLst>
        </c:ser>
        <c:ser>
          <c:idx val="1"/>
          <c:order val="1"/>
          <c:tx>
            <c:strRef>
              <c:f>数据2!$E$3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数据2!$E$4:$E$20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FA-4DFF-992E-DD49E4359DA6}"/>
            </c:ext>
          </c:extLst>
        </c:ser>
        <c:ser>
          <c:idx val="2"/>
          <c:order val="2"/>
          <c:tx>
            <c:strRef>
              <c:f>数据2!$F$3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数据2!$F$4:$F$20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FA-4DFF-992E-DD49E4359DA6}"/>
            </c:ext>
          </c:extLst>
        </c:ser>
        <c:ser>
          <c:idx val="3"/>
          <c:order val="3"/>
          <c:tx>
            <c:strRef>
              <c:f>数据2!$G$3</c:f>
              <c:strCache>
                <c:ptCount val="1"/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数据2!$G$4:$G$20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FA-4DFF-992E-DD49E4359DA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7a4be8-914a-4beb-8daa-90f5e29f189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到店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8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数据2!$D$24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数据2!$D$25:$D$41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85-4DB0-AD74-C11252793B6D}"/>
            </c:ext>
          </c:extLst>
        </c:ser>
        <c:ser>
          <c:idx val="1"/>
          <c:order val="1"/>
          <c:tx>
            <c:strRef>
              <c:f>数据2!$E$24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数据2!$E$25:$E$41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85-4DB0-AD74-C11252793B6D}"/>
            </c:ext>
          </c:extLst>
        </c:ser>
        <c:ser>
          <c:idx val="2"/>
          <c:order val="2"/>
          <c:tx>
            <c:strRef>
              <c:f>数据2!$F$24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数据2!$F$25:$F$41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85-4DB0-AD74-C11252793B6D}"/>
            </c:ext>
          </c:extLst>
        </c:ser>
        <c:ser>
          <c:idx val="3"/>
          <c:order val="3"/>
          <c:tx>
            <c:strRef>
              <c:f>数据2!$G$24</c:f>
              <c:strCache>
                <c:ptCount val="1"/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数据2!$G$25:$G$41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85-4DB0-AD74-C11252793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b6d943-5cd7-4e52-a218-1c8157b15f0d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订单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8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数据2!$D$44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数据2!$D$45:$D$61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C-4C75-9C56-793F8BAAFBE6}"/>
            </c:ext>
          </c:extLst>
        </c:ser>
        <c:ser>
          <c:idx val="1"/>
          <c:order val="1"/>
          <c:tx>
            <c:strRef>
              <c:f>数据2!$E$44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数据2!$E$45:$E$61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C-4C75-9C56-793F8BAAFBE6}"/>
            </c:ext>
          </c:extLst>
        </c:ser>
        <c:ser>
          <c:idx val="2"/>
          <c:order val="2"/>
          <c:tx>
            <c:strRef>
              <c:f>数据2!$F$44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数据2!$F$45:$F$61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3C-4C75-9C56-793F8BAAFBE6}"/>
            </c:ext>
          </c:extLst>
        </c:ser>
        <c:ser>
          <c:idx val="3"/>
          <c:order val="3"/>
          <c:tx>
            <c:strRef>
              <c:f>数据2!$G$44</c:f>
              <c:strCache>
                <c:ptCount val="1"/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数据2!$G$45:$G$61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3C-4C75-9C56-793F8BAAFB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6239382-3ab6-4b9d-a651-805e5de3cac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'2026月度数据对比'!$C$1:$C$2</c:f>
              <c:strCache>
                <c:ptCount val="2"/>
                <c:pt idx="0">
                  <c:v>每月订单对比</c:v>
                </c:pt>
                <c:pt idx="1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'2026月度数据对比'!$C$3:$C$12</c:f>
              <c:numCache>
                <c:formatCode>General</c:formatCode>
                <c:ptCount val="10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8">
                  <c:v>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1-468F-B80F-08FF91BC5CBC}"/>
            </c:ext>
          </c:extLst>
        </c:ser>
        <c:ser>
          <c:idx val="1"/>
          <c:order val="1"/>
          <c:tx>
            <c:strRef>
              <c:f>'2026月度数据对比'!$D$1:$D$2</c:f>
              <c:strCache>
                <c:ptCount val="2"/>
                <c:pt idx="0">
                  <c:v>每月订单对比</c:v>
                </c:pt>
                <c:pt idx="1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'2026月度数据对比'!$D$3:$D$12</c:f>
              <c:numCache>
                <c:formatCode>General</c:formatCode>
                <c:ptCount val="10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91-468F-B80F-08FF91BC5CBC}"/>
            </c:ext>
          </c:extLst>
        </c:ser>
        <c:ser>
          <c:idx val="2"/>
          <c:order val="2"/>
          <c:tx>
            <c:strRef>
              <c:f>'2026月度数据对比'!$E$1:$E$2</c:f>
              <c:strCache>
                <c:ptCount val="2"/>
                <c:pt idx="0">
                  <c:v>每月订单对比</c:v>
                </c:pt>
                <c:pt idx="1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'2026月度数据对比'!$E$3:$E$12</c:f>
              <c:numCache>
                <c:formatCode>General</c:formatCode>
                <c:ptCount val="10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91-468F-B80F-08FF91BC5CBC}"/>
            </c:ext>
          </c:extLst>
        </c:ser>
        <c:ser>
          <c:idx val="3"/>
          <c:order val="3"/>
          <c:tx>
            <c:strRef>
              <c:f>'2026月度数据对比'!$F$1:$F$2</c:f>
              <c:strCache>
                <c:ptCount val="2"/>
                <c:pt idx="0">
                  <c:v>每月订单对比</c:v>
                </c:pt>
                <c:pt idx="1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'2026月度数据对比'!$F$3:$F$12</c:f>
              <c:numCache>
                <c:formatCode>General</c:formatCode>
                <c:ptCount val="10"/>
                <c:pt idx="0">
                  <c:v>8</c:v>
                </c:pt>
                <c:pt idx="1">
                  <c:v>10</c:v>
                </c:pt>
                <c:pt idx="2">
                  <c:v>15</c:v>
                </c:pt>
                <c:pt idx="3">
                  <c:v>6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9</c:v>
                </c:pt>
                <c:pt idx="8">
                  <c:v>4</c:v>
                </c:pt>
                <c:pt idx="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91-468F-B80F-08FF91BC5CBC}"/>
            </c:ext>
          </c:extLst>
        </c:ser>
        <c:ser>
          <c:idx val="4"/>
          <c:order val="4"/>
          <c:tx>
            <c:strRef>
              <c:f>'2026月度数据对比'!$G$1:$G$2</c:f>
              <c:strCache>
                <c:ptCount val="2"/>
                <c:pt idx="0">
                  <c:v>每月订单对比</c:v>
                </c:pt>
                <c:pt idx="1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'2026月度数据对比'!$G$3:$G$12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4-3A91-468F-B80F-08FF91BC5CBC}"/>
            </c:ext>
          </c:extLst>
        </c:ser>
        <c:ser>
          <c:idx val="5"/>
          <c:order val="5"/>
          <c:tx>
            <c:strRef>
              <c:f>'2026月度数据对比'!$H$1:$H$2</c:f>
              <c:strCache>
                <c:ptCount val="2"/>
                <c:pt idx="0">
                  <c:v>每月订单对比</c:v>
                </c:pt>
                <c:pt idx="1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'2026月度数据对比'!$H$3:$H$12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5-3A91-468F-B80F-08FF91BC5CBC}"/>
            </c:ext>
          </c:extLst>
        </c:ser>
        <c:ser>
          <c:idx val="6"/>
          <c:order val="6"/>
          <c:tx>
            <c:strRef>
              <c:f>'2026月度数据对比'!$I$1:$I$2</c:f>
              <c:strCache>
                <c:ptCount val="2"/>
                <c:pt idx="0">
                  <c:v>每月订单对比</c:v>
                </c:pt>
                <c:pt idx="1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'2026月度数据对比'!$I$3:$I$12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6-3A91-468F-B80F-08FF91BC5CBC}"/>
            </c:ext>
          </c:extLst>
        </c:ser>
        <c:ser>
          <c:idx val="7"/>
          <c:order val="7"/>
          <c:tx>
            <c:strRef>
              <c:f>'2026月度数据对比'!$J$1:$J$2</c:f>
              <c:strCache>
                <c:ptCount val="2"/>
                <c:pt idx="0">
                  <c:v>每月订单对比</c:v>
                </c:pt>
                <c:pt idx="1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'2026月度数据对比'!$J$3:$J$12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7-3A91-468F-B80F-08FF91BC5C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</a:p>
        </c:rich>
      </c:tx>
      <c:layout>
        <c:manualLayout>
          <c:xMode val="edge"/>
          <c:yMode val="edge"/>
          <c:x val="0.37897484575225399"/>
          <c:y val="1.33774834437086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4-48A8-9923-20780A963203}"/>
            </c:ext>
          </c:extLst>
        </c:ser>
        <c:ser>
          <c:idx val="1"/>
          <c:order val="1"/>
          <c:tx>
            <c:strRef>
              <c:f>'2026月度数据对比'!$Q$2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2.6033449037551298E-3"/>
                  <c:y val="-4.20660276890309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C4-48A8-9923-20780A9632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'2026月度数据对比'!$Q$3:$Q$12</c:f>
              <c:numCache>
                <c:formatCode>0.0%</c:formatCode>
                <c:ptCount val="10"/>
                <c:pt idx="0">
                  <c:v>0.1</c:v>
                </c:pt>
                <c:pt idx="1">
                  <c:v>0.23</c:v>
                </c:pt>
                <c:pt idx="2">
                  <c:v>0.6</c:v>
                </c:pt>
                <c:pt idx="3">
                  <c:v>0.17</c:v>
                </c:pt>
                <c:pt idx="4">
                  <c:v>0</c:v>
                </c:pt>
                <c:pt idx="5">
                  <c:v>0.11</c:v>
                </c:pt>
                <c:pt idx="6">
                  <c:v>0.15</c:v>
                </c:pt>
                <c:pt idx="8">
                  <c:v>0.25</c:v>
                </c:pt>
                <c:pt idx="9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C4-48A8-9923-20780A963203}"/>
            </c:ext>
          </c:extLst>
        </c:ser>
        <c:ser>
          <c:idx val="2"/>
          <c:order val="2"/>
          <c:tx>
            <c:strRef>
              <c:f>'2026月度数据对比'!$R$2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1.88427416189056E-3"/>
                  <c:y val="1.7280042210790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C4-48A8-9923-20780A9632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'2026月度数据对比'!$R$3:$R$12</c:f>
              <c:numCache>
                <c:formatCode>0.0%</c:formatCode>
                <c:ptCount val="10"/>
                <c:pt idx="0">
                  <c:v>0.158</c:v>
                </c:pt>
                <c:pt idx="1">
                  <c:v>0.13</c:v>
                </c:pt>
                <c:pt idx="2">
                  <c:v>0.34599999999999997</c:v>
                </c:pt>
                <c:pt idx="3">
                  <c:v>0.18</c:v>
                </c:pt>
                <c:pt idx="4">
                  <c:v>0.03</c:v>
                </c:pt>
                <c:pt idx="5">
                  <c:v>0.2</c:v>
                </c:pt>
                <c:pt idx="6">
                  <c:v>0.15</c:v>
                </c:pt>
                <c:pt idx="7">
                  <c:v>0.15</c:v>
                </c:pt>
                <c:pt idx="8">
                  <c:v>0.1</c:v>
                </c:pt>
                <c:pt idx="9">
                  <c:v>0.10199999999999999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C4-48A8-9923-20780A963203}"/>
            </c:ext>
          </c:extLst>
        </c:ser>
        <c:ser>
          <c:idx val="3"/>
          <c:order val="3"/>
          <c:tx>
            <c:strRef>
              <c:f>'2026月度数据对比'!$S$2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8.4007223050953893E-3"/>
                  <c:y val="-4.40575122015565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2C4-48A8-9923-20780A9632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'2026月度数据对比'!$S$3:$S$12</c:f>
              <c:numCache>
                <c:formatCode>0.0%</c:formatCode>
                <c:ptCount val="10"/>
                <c:pt idx="0">
                  <c:v>8.0000000000000002E-3</c:v>
                </c:pt>
                <c:pt idx="1">
                  <c:v>0.1043</c:v>
                </c:pt>
                <c:pt idx="2">
                  <c:v>0.1</c:v>
                </c:pt>
                <c:pt idx="3">
                  <c:v>0.1</c:v>
                </c:pt>
                <c:pt idx="4">
                  <c:v>6.7000000000000004E-2</c:v>
                </c:pt>
                <c:pt idx="5">
                  <c:v>0.17</c:v>
                </c:pt>
                <c:pt idx="6">
                  <c:v>0.15</c:v>
                </c:pt>
                <c:pt idx="7">
                  <c:v>0.12</c:v>
                </c:pt>
                <c:pt idx="8">
                  <c:v>0.1</c:v>
                </c:pt>
                <c:pt idx="9">
                  <c:v>0.16900000000000001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C4-48A8-9923-20780A963203}"/>
            </c:ext>
          </c:extLst>
        </c:ser>
        <c:ser>
          <c:idx val="4"/>
          <c:order val="4"/>
          <c:tx>
            <c:strRef>
              <c:f>'2026月度数据对比'!$T$2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'2026月度数据对比'!$T$3:$T$12</c:f>
              <c:numCache>
                <c:formatCode>0.0%</c:formatCode>
                <c:ptCount val="10"/>
                <c:pt idx="0">
                  <c:v>0.2</c:v>
                </c:pt>
                <c:pt idx="1">
                  <c:v>0.16</c:v>
                </c:pt>
                <c:pt idx="2">
                  <c:v>0.2</c:v>
                </c:pt>
                <c:pt idx="3">
                  <c:v>0.16</c:v>
                </c:pt>
                <c:pt idx="4">
                  <c:v>8.3000000000000004E-2</c:v>
                </c:pt>
                <c:pt idx="5">
                  <c:v>0.23599999999999999</c:v>
                </c:pt>
                <c:pt idx="6">
                  <c:v>0.15</c:v>
                </c:pt>
                <c:pt idx="7" formatCode="0%">
                  <c:v>0.21</c:v>
                </c:pt>
                <c:pt idx="8">
                  <c:v>0.05</c:v>
                </c:pt>
                <c:pt idx="9">
                  <c:v>0.17399999999999999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2C4-48A8-9923-20780A963203}"/>
            </c:ext>
          </c:extLst>
        </c:ser>
        <c:ser>
          <c:idx val="5"/>
          <c:order val="5"/>
          <c:tx>
            <c:strRef>
              <c:f>'2026月度数据对比'!$U$2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'2026月度数据对比'!$U$3:$U$12</c:f>
              <c:numCache>
                <c:formatCode>0.0%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8-A2C4-48A8-9923-20780A963203}"/>
            </c:ext>
          </c:extLst>
        </c:ser>
        <c:ser>
          <c:idx val="6"/>
          <c:order val="6"/>
          <c:tx>
            <c:strRef>
              <c:f>'2026月度数据对比'!$V$2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'2026月度数据对比'!$V$3:$V$12</c:f>
              <c:numCache>
                <c:formatCode>0.0%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9-A2C4-48A8-9923-20780A963203}"/>
            </c:ext>
          </c:extLst>
        </c:ser>
        <c:ser>
          <c:idx val="7"/>
          <c:order val="7"/>
          <c:tx>
            <c:strRef>
              <c:f>'2026月度数据对比'!$W$2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'2026月度数据对比'!$W$3:$W$12</c:f>
              <c:numCache>
                <c:formatCode>0.0%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A-A2C4-48A8-9923-20780A9632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08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1.7291519295763599E-2"/>
          <c:y val="0.186779275621244"/>
          <c:w val="0.965416961408473"/>
          <c:h val="0.73061555952574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'2026月度数据对比'!$C$22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9.4317377976892202E-4"/>
                  <c:y val="2.6311515348383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FD3-4AAB-9BD9-081302E9E3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'2026月度数据对比'!$C$23:$C$32</c:f>
              <c:numCache>
                <c:formatCode>General</c:formatCode>
                <c:ptCount val="10"/>
                <c:pt idx="0">
                  <c:v>0</c:v>
                </c:pt>
                <c:pt idx="1">
                  <c:v>1529</c:v>
                </c:pt>
                <c:pt idx="2">
                  <c:v>495</c:v>
                </c:pt>
                <c:pt idx="3">
                  <c:v>681</c:v>
                </c:pt>
                <c:pt idx="4">
                  <c:v>302</c:v>
                </c:pt>
                <c:pt idx="5">
                  <c:v>369</c:v>
                </c:pt>
                <c:pt idx="6">
                  <c:v>765</c:v>
                </c:pt>
                <c:pt idx="7">
                  <c:v>181</c:v>
                </c:pt>
                <c:pt idx="9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D3-4AAB-9BD9-081302E9E39F}"/>
            </c:ext>
          </c:extLst>
        </c:ser>
        <c:ser>
          <c:idx val="1"/>
          <c:order val="1"/>
          <c:tx>
            <c:strRef>
              <c:f>'2026月度数据对比'!$D$22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'2026月度数据对比'!$D$23:$D$32</c:f>
              <c:numCache>
                <c:formatCode>General</c:formatCode>
                <c:ptCount val="10"/>
                <c:pt idx="0">
                  <c:v>0</c:v>
                </c:pt>
                <c:pt idx="1">
                  <c:v>1277</c:v>
                </c:pt>
                <c:pt idx="2">
                  <c:v>1446</c:v>
                </c:pt>
                <c:pt idx="3">
                  <c:v>902</c:v>
                </c:pt>
                <c:pt idx="4">
                  <c:v>870</c:v>
                </c:pt>
                <c:pt idx="5">
                  <c:v>345</c:v>
                </c:pt>
                <c:pt idx="6">
                  <c:v>867</c:v>
                </c:pt>
                <c:pt idx="7">
                  <c:v>394</c:v>
                </c:pt>
                <c:pt idx="8">
                  <c:v>461</c:v>
                </c:pt>
                <c:pt idx="9">
                  <c:v>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D3-4AAB-9BD9-081302E9E39F}"/>
            </c:ext>
          </c:extLst>
        </c:ser>
        <c:ser>
          <c:idx val="2"/>
          <c:order val="2"/>
          <c:tx>
            <c:strRef>
              <c:f>'2026月度数据对比'!$E$22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'2026月度数据对比'!$E$23:$E$32</c:f>
              <c:numCache>
                <c:formatCode>General</c:formatCode>
                <c:ptCount val="10"/>
                <c:pt idx="0">
                  <c:v>0</c:v>
                </c:pt>
                <c:pt idx="1">
                  <c:v>731</c:v>
                </c:pt>
                <c:pt idx="2">
                  <c:v>1054</c:v>
                </c:pt>
                <c:pt idx="3">
                  <c:v>1112</c:v>
                </c:pt>
                <c:pt idx="4">
                  <c:v>557</c:v>
                </c:pt>
                <c:pt idx="5">
                  <c:v>384</c:v>
                </c:pt>
                <c:pt idx="6">
                  <c:v>593</c:v>
                </c:pt>
                <c:pt idx="7">
                  <c:v>316</c:v>
                </c:pt>
                <c:pt idx="8">
                  <c:v>497</c:v>
                </c:pt>
                <c:pt idx="9">
                  <c:v>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D3-4AAB-9BD9-081302E9E39F}"/>
            </c:ext>
          </c:extLst>
        </c:ser>
        <c:ser>
          <c:idx val="3"/>
          <c:order val="3"/>
          <c:tx>
            <c:strRef>
              <c:f>'2026月度数据对比'!$F$22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'2026月度数据对比'!$F$23:$F$32</c:f>
              <c:numCache>
                <c:formatCode>General</c:formatCode>
                <c:ptCount val="10"/>
                <c:pt idx="0">
                  <c:v>0</c:v>
                </c:pt>
                <c:pt idx="1">
                  <c:v>855</c:v>
                </c:pt>
                <c:pt idx="2">
                  <c:v>1095</c:v>
                </c:pt>
                <c:pt idx="3">
                  <c:v>606</c:v>
                </c:pt>
                <c:pt idx="4">
                  <c:v>504</c:v>
                </c:pt>
                <c:pt idx="5">
                  <c:v>347</c:v>
                </c:pt>
                <c:pt idx="6">
                  <c:v>410</c:v>
                </c:pt>
                <c:pt idx="7">
                  <c:v>261</c:v>
                </c:pt>
                <c:pt idx="8">
                  <c:v>452</c:v>
                </c:pt>
                <c:pt idx="9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D3-4AAB-9BD9-081302E9E39F}"/>
            </c:ext>
          </c:extLst>
        </c:ser>
        <c:ser>
          <c:idx val="4"/>
          <c:order val="4"/>
          <c:tx>
            <c:strRef>
              <c:f>'2026月度数据对比'!$G$22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'2026月度数据对比'!$G$23:$G$32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D3-4AAB-9BD9-081302E9E39F}"/>
            </c:ext>
          </c:extLst>
        </c:ser>
        <c:ser>
          <c:idx val="5"/>
          <c:order val="5"/>
          <c:tx>
            <c:strRef>
              <c:f>'2026月度数据对比'!$H$22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'2026月度数据对比'!$H$23:$H$32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D3-4AAB-9BD9-081302E9E39F}"/>
            </c:ext>
          </c:extLst>
        </c:ser>
        <c:ser>
          <c:idx val="6"/>
          <c:order val="6"/>
          <c:tx>
            <c:strRef>
              <c:f>'2026月度数据对比'!$I$22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'2026月度数据对比'!$I$23:$I$32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FD3-4AAB-9BD9-081302E9E39F}"/>
            </c:ext>
          </c:extLst>
        </c:ser>
        <c:ser>
          <c:idx val="7"/>
          <c:order val="7"/>
          <c:tx>
            <c:strRef>
              <c:f>'2026月度数据对比'!$J$22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'2026月度数据对比'!$J$23:$J$32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FD3-4AAB-9BD9-081302E9E3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'2026月度数据对比'!$O$22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'2026月度数据对比'!$O$23:$O$32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E7-4AA8-A8DD-4AB67E603175}"/>
            </c:ext>
          </c:extLst>
        </c:ser>
        <c:ser>
          <c:idx val="1"/>
          <c:order val="1"/>
          <c:tx>
            <c:strRef>
              <c:f>'2026月度数据对比'!$Q$22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'2026月度数据对比'!$Q$23:$Q$32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13</c:v>
                </c:pt>
                <c:pt idx="3">
                  <c:v>21</c:v>
                </c:pt>
                <c:pt idx="4">
                  <c:v>8</c:v>
                </c:pt>
                <c:pt idx="5">
                  <c:v>16</c:v>
                </c:pt>
                <c:pt idx="6">
                  <c:v>29</c:v>
                </c:pt>
                <c:pt idx="7">
                  <c:v>27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E7-4AA8-A8DD-4AB67E603175}"/>
            </c:ext>
          </c:extLst>
        </c:ser>
        <c:ser>
          <c:idx val="2"/>
          <c:order val="2"/>
          <c:tx>
            <c:strRef>
              <c:f>'2026月度数据对比'!$R$22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'2026月度数据对比'!$R$23:$R$32</c:f>
              <c:numCache>
                <c:formatCode>General</c:formatCode>
                <c:ptCount val="10"/>
                <c:pt idx="0">
                  <c:v>0</c:v>
                </c:pt>
                <c:pt idx="1">
                  <c:v>29</c:v>
                </c:pt>
                <c:pt idx="2">
                  <c:v>26</c:v>
                </c:pt>
                <c:pt idx="3">
                  <c:v>31</c:v>
                </c:pt>
                <c:pt idx="4">
                  <c:v>27</c:v>
                </c:pt>
                <c:pt idx="5">
                  <c:v>18</c:v>
                </c:pt>
                <c:pt idx="6">
                  <c:v>50</c:v>
                </c:pt>
                <c:pt idx="7">
                  <c:v>52</c:v>
                </c:pt>
                <c:pt idx="8">
                  <c:v>41</c:v>
                </c:pt>
                <c:pt idx="9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CE7-4AA8-A8DD-4AB67E603175}"/>
            </c:ext>
          </c:extLst>
        </c:ser>
        <c:ser>
          <c:idx val="3"/>
          <c:order val="3"/>
          <c:tx>
            <c:strRef>
              <c:f>'2026月度数据对比'!$S$22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'2026月度数据对比'!$S$23:$S$32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51</c:v>
                </c:pt>
                <c:pt idx="3">
                  <c:v>60</c:v>
                </c:pt>
                <c:pt idx="4">
                  <c:v>12</c:v>
                </c:pt>
                <c:pt idx="5">
                  <c:v>25</c:v>
                </c:pt>
                <c:pt idx="6">
                  <c:v>28</c:v>
                </c:pt>
                <c:pt idx="7">
                  <c:v>35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CE7-4AA8-A8DD-4AB67E603175}"/>
            </c:ext>
          </c:extLst>
        </c:ser>
        <c:ser>
          <c:idx val="4"/>
          <c:order val="4"/>
          <c:tx>
            <c:strRef>
              <c:f>'2026月度数据对比'!$T$22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'2026月度数据对比'!$T$23:$T$32</c:f>
              <c:numCache>
                <c:formatCode>General</c:formatCode>
                <c:ptCount val="10"/>
                <c:pt idx="0">
                  <c:v>0</c:v>
                </c:pt>
                <c:pt idx="1">
                  <c:v>20</c:v>
                </c:pt>
                <c:pt idx="2">
                  <c:v>31</c:v>
                </c:pt>
                <c:pt idx="3">
                  <c:v>28</c:v>
                </c:pt>
                <c:pt idx="4">
                  <c:v>24</c:v>
                </c:pt>
                <c:pt idx="5">
                  <c:v>27</c:v>
                </c:pt>
                <c:pt idx="6">
                  <c:v>32</c:v>
                </c:pt>
                <c:pt idx="7">
                  <c:v>41</c:v>
                </c:pt>
                <c:pt idx="8">
                  <c:v>25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CE7-4AA8-A8DD-4AB67E603175}"/>
            </c:ext>
          </c:extLst>
        </c:ser>
        <c:ser>
          <c:idx val="5"/>
          <c:order val="5"/>
          <c:tx>
            <c:strRef>
              <c:f>'2026月度数据对比'!$U$22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'2026月度数据对比'!$U$23:$U$32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CE7-4AA8-A8DD-4AB67E603175}"/>
            </c:ext>
          </c:extLst>
        </c:ser>
        <c:ser>
          <c:idx val="6"/>
          <c:order val="6"/>
          <c:tx>
            <c:strRef>
              <c:f>'2026月度数据对比'!$V$22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'2026月度数据对比'!$V$23:$V$32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CE7-4AA8-A8DD-4AB67E603175}"/>
            </c:ext>
          </c:extLst>
        </c:ser>
        <c:ser>
          <c:idx val="7"/>
          <c:order val="7"/>
          <c:tx>
            <c:strRef>
              <c:f>'2026月度数据对比'!$W$22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'2026月度数据对比'!$W$23:$W$32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CE7-4AA8-A8DD-4AB67E6031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'2026月度数据对比'!$C$35</c:f>
              <c:strCache>
                <c:ptCount val="1"/>
                <c:pt idx="0">
                  <c:v>282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'2026月度数据对比'!$C$43:$C$52</c:f>
              <c:numCache>
                <c:formatCode>General</c:formatCode>
                <c:ptCount val="10"/>
                <c:pt idx="1">
                  <c:v>0</c:v>
                </c:pt>
                <c:pt idx="2">
                  <c:v>1842</c:v>
                </c:pt>
                <c:pt idx="3">
                  <c:v>451</c:v>
                </c:pt>
                <c:pt idx="4">
                  <c:v>608</c:v>
                </c:pt>
                <c:pt idx="5">
                  <c:v>101</c:v>
                </c:pt>
                <c:pt idx="6">
                  <c:v>353</c:v>
                </c:pt>
                <c:pt idx="7">
                  <c:v>0</c:v>
                </c:pt>
                <c:pt idx="8">
                  <c:v>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C-4542-A139-18AC2F3BA63B}"/>
            </c:ext>
          </c:extLst>
        </c:ser>
        <c:ser>
          <c:idx val="1"/>
          <c:order val="1"/>
          <c:tx>
            <c:strRef>
              <c:f>'2026月度数据对比'!$D$35</c:f>
              <c:strCache>
                <c:ptCount val="1"/>
                <c:pt idx="0">
                  <c:v>338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'2026月度数据对比'!$D$43:$D$52</c:f>
              <c:numCache>
                <c:formatCode>General</c:formatCode>
                <c:ptCount val="10"/>
                <c:pt idx="1">
                  <c:v>0</c:v>
                </c:pt>
                <c:pt idx="2">
                  <c:v>991</c:v>
                </c:pt>
                <c:pt idx="3">
                  <c:v>1341</c:v>
                </c:pt>
                <c:pt idx="4">
                  <c:v>979</c:v>
                </c:pt>
                <c:pt idx="5">
                  <c:v>623</c:v>
                </c:pt>
                <c:pt idx="6">
                  <c:v>321</c:v>
                </c:pt>
                <c:pt idx="7">
                  <c:v>270</c:v>
                </c:pt>
                <c:pt idx="8">
                  <c:v>313</c:v>
                </c:pt>
                <c:pt idx="9">
                  <c:v>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C-4542-A139-18AC2F3BA63B}"/>
            </c:ext>
          </c:extLst>
        </c:ser>
        <c:ser>
          <c:idx val="2"/>
          <c:order val="2"/>
          <c:tx>
            <c:strRef>
              <c:f>'2026月度数据对比'!$E$35</c:f>
              <c:strCache>
                <c:ptCount val="1"/>
                <c:pt idx="0">
                  <c:v>365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'2026月度数据对比'!$E$43:$E$52</c:f>
              <c:numCache>
                <c:formatCode>General</c:formatCode>
                <c:ptCount val="10"/>
                <c:pt idx="1">
                  <c:v>0</c:v>
                </c:pt>
                <c:pt idx="2">
                  <c:v>474</c:v>
                </c:pt>
                <c:pt idx="3">
                  <c:v>1751</c:v>
                </c:pt>
                <c:pt idx="4">
                  <c:v>1087</c:v>
                </c:pt>
                <c:pt idx="5">
                  <c:v>456</c:v>
                </c:pt>
                <c:pt idx="6">
                  <c:v>364</c:v>
                </c:pt>
                <c:pt idx="7">
                  <c:v>45</c:v>
                </c:pt>
                <c:pt idx="8">
                  <c:v>258</c:v>
                </c:pt>
                <c:pt idx="9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DC-4542-A139-18AC2F3BA63B}"/>
            </c:ext>
          </c:extLst>
        </c:ser>
        <c:ser>
          <c:idx val="3"/>
          <c:order val="3"/>
          <c:tx>
            <c:strRef>
              <c:f>'2026月度数据对比'!$F$35</c:f>
              <c:strCache>
                <c:ptCount val="1"/>
                <c:pt idx="0">
                  <c:v>408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'2026月度数据对比'!$F$43:$F$52</c:f>
              <c:numCache>
                <c:formatCode>General</c:formatCode>
                <c:ptCount val="10"/>
                <c:pt idx="1">
                  <c:v>0</c:v>
                </c:pt>
                <c:pt idx="2">
                  <c:v>590</c:v>
                </c:pt>
                <c:pt idx="3">
                  <c:v>1070</c:v>
                </c:pt>
                <c:pt idx="4">
                  <c:v>560</c:v>
                </c:pt>
                <c:pt idx="5">
                  <c:v>418</c:v>
                </c:pt>
                <c:pt idx="6">
                  <c:v>331</c:v>
                </c:pt>
                <c:pt idx="7">
                  <c:v>293</c:v>
                </c:pt>
                <c:pt idx="8">
                  <c:v>168</c:v>
                </c:pt>
                <c:pt idx="9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DC-4542-A139-18AC2F3BA63B}"/>
            </c:ext>
          </c:extLst>
        </c:ser>
        <c:ser>
          <c:idx val="4"/>
          <c:order val="4"/>
          <c:tx>
            <c:strRef>
              <c:f>'2026月度数据对比'!$G$35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'2026月度数据对比'!$G$43:$G$52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DC-4542-A139-18AC2F3BA63B}"/>
            </c:ext>
          </c:extLst>
        </c:ser>
        <c:ser>
          <c:idx val="5"/>
          <c:order val="5"/>
          <c:tx>
            <c:strRef>
              <c:f>'2026月度数据对比'!$H$35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'2026月度数据对比'!$H$43:$H$52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DC-4542-A139-18AC2F3BA63B}"/>
            </c:ext>
          </c:extLst>
        </c:ser>
        <c:ser>
          <c:idx val="6"/>
          <c:order val="6"/>
          <c:tx>
            <c:strRef>
              <c:f>'2026月度数据对比'!$I$35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'2026月度数据对比'!$I$43:$I$52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DC-4542-A139-18AC2F3BA63B}"/>
            </c:ext>
          </c:extLst>
        </c:ser>
        <c:ser>
          <c:idx val="7"/>
          <c:order val="7"/>
          <c:tx>
            <c:strRef>
              <c:f>'2026月度数据对比'!$J$35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'2026月度数据对比'!$J$43:$J$52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DC-4542-A139-18AC2F3BA63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432-4868-AE17-4F772185F42A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432-4868-AE17-4F772185F42A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432-4868-AE17-4F772185F4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4432-4868-AE17-4F772185F42A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4432-4868-AE17-4F772185F42A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4432-4868-AE17-4F772185F42A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6-4432-4868-AE17-4F772185F42A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'2026月度数据对比'!#REF!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7-4432-4868-AE17-4F772185F42A}"/>
                  </c:ext>
                </c:extLst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78-42B8-8D24-D05C62167ADB}"/>
            </c:ext>
          </c:extLst>
        </c:ser>
        <c:ser>
          <c:idx val="1"/>
          <c:order val="1"/>
          <c:tx>
            <c:strRef>
              <c:f>[3]月度数据对比!$C$1:$C$2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78-42B8-8D24-D05C62167ADB}"/>
            </c:ext>
          </c:extLst>
        </c:ser>
        <c:ser>
          <c:idx val="2"/>
          <c:order val="2"/>
          <c:tx>
            <c:strRef>
              <c:f>[3]月度数据对比!$D$1:$D$2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78-42B8-8D24-D05C62167ADB}"/>
            </c:ext>
          </c:extLst>
        </c:ser>
        <c:ser>
          <c:idx val="3"/>
          <c:order val="3"/>
          <c:tx>
            <c:strRef>
              <c:f>[3]月度数据对比!$E$1:$E$2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78-42B8-8D24-D05C62167ADB}"/>
            </c:ext>
          </c:extLst>
        </c:ser>
        <c:ser>
          <c:idx val="4"/>
          <c:order val="4"/>
          <c:tx>
            <c:strRef>
              <c:f>[3]月度数据对比!$F$1:$F$2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78-42B8-8D24-D05C62167ADB}"/>
            </c:ext>
          </c:extLst>
        </c:ser>
        <c:ser>
          <c:idx val="5"/>
          <c:order val="5"/>
          <c:tx>
            <c:strRef>
              <c:f>[3]月度数据对比!$G$1:$G$2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78-42B8-8D24-D05C62167ADB}"/>
            </c:ext>
          </c:extLst>
        </c:ser>
        <c:ser>
          <c:idx val="6"/>
          <c:order val="6"/>
          <c:tx>
            <c:strRef>
              <c:f>[3]月度数据对比!$H$1:$H$2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78-42B8-8D24-D05C62167ADB}"/>
            </c:ext>
          </c:extLst>
        </c:ser>
        <c:ser>
          <c:idx val="7"/>
          <c:order val="7"/>
          <c:tx>
            <c:strRef>
              <c:f>[3]月度数据对比!$I$1:$I$2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78-42B8-8D24-D05C62167AD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</a:p>
        </c:rich>
      </c:tx>
      <c:layout>
        <c:manualLayout>
          <c:xMode val="edge"/>
          <c:yMode val="edge"/>
          <c:x val="0.37897484575225399"/>
          <c:y val="1.33774834437086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0.16200000000000001</c:v>
                </c:pt>
                <c:pt idx="2">
                  <c:v>7.0000000000000007E-2</c:v>
                </c:pt>
                <c:pt idx="3">
                  <c:v>0.153</c:v>
                </c:pt>
                <c:pt idx="4">
                  <c:v>0</c:v>
                </c:pt>
                <c:pt idx="5">
                  <c:v>0.13300000000000001</c:v>
                </c:pt>
                <c:pt idx="6">
                  <c:v>0.2</c:v>
                </c:pt>
                <c:pt idx="7">
                  <c:v>7.0000000000000007E-2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6-479C-98C2-025949D5A7AB}"/>
            </c:ext>
          </c:extLst>
        </c:ser>
        <c:ser>
          <c:idx val="1"/>
          <c:order val="1"/>
          <c:tx>
            <c:strRef>
              <c:f>[3]月度数据对比!$O$2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2.6033449037551298E-3"/>
                  <c:y val="-4.20660276890309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D6-479C-98C2-025949D5A7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[3]月度数据对比!$O$3:$O$14</c:f>
              <c:numCache>
                <c:formatCode>General</c:formatCode>
                <c:ptCount val="12"/>
                <c:pt idx="0">
                  <c:v>0.20499999999999999</c:v>
                </c:pt>
                <c:pt idx="1">
                  <c:v>0.128</c:v>
                </c:pt>
                <c:pt idx="3">
                  <c:v>0.13500000000000001</c:v>
                </c:pt>
                <c:pt idx="5">
                  <c:v>3.3000000000000002E-2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D6-479C-98C2-025949D5A7AB}"/>
            </c:ext>
          </c:extLst>
        </c:ser>
        <c:ser>
          <c:idx val="2"/>
          <c:order val="2"/>
          <c:tx>
            <c:strRef>
              <c:f>[3]月度数据对比!$P$2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1.88427416189056E-3"/>
                  <c:y val="1.7280042210790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7D6-479C-98C2-025949D5A7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0.14299999999999999</c:v>
                </c:pt>
                <c:pt idx="4">
                  <c:v>0.18</c:v>
                </c:pt>
                <c:pt idx="5">
                  <c:v>0.17499999999999999</c:v>
                </c:pt>
                <c:pt idx="6">
                  <c:v>0.1</c:v>
                </c:pt>
                <c:pt idx="7">
                  <c:v>0.09</c:v>
                </c:pt>
                <c:pt idx="8">
                  <c:v>0.11700000000000001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D6-479C-98C2-025949D5A7AB}"/>
            </c:ext>
          </c:extLst>
        </c:ser>
        <c:ser>
          <c:idx val="3"/>
          <c:order val="3"/>
          <c:tx>
            <c:strRef>
              <c:f>[3]月度数据对比!$Q$2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8.4007223050953893E-3"/>
                  <c:y val="-4.40575122015565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D6-479C-98C2-025949D5A7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0.16900000000000001</c:v>
                </c:pt>
                <c:pt idx="2">
                  <c:v>0.33300000000000002</c:v>
                </c:pt>
                <c:pt idx="3">
                  <c:v>0.28599999999999998</c:v>
                </c:pt>
                <c:pt idx="4">
                  <c:v>0.33300000000000002</c:v>
                </c:pt>
                <c:pt idx="5">
                  <c:v>0.154</c:v>
                </c:pt>
                <c:pt idx="6">
                  <c:v>0.185</c:v>
                </c:pt>
                <c:pt idx="7">
                  <c:v>6.9000000000000006E-2</c:v>
                </c:pt>
                <c:pt idx="8">
                  <c:v>0.13800000000000001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D6-479C-98C2-025949D5A7AB}"/>
            </c:ext>
          </c:extLst>
        </c:ser>
        <c:ser>
          <c:idx val="4"/>
          <c:order val="4"/>
          <c:tx>
            <c:strRef>
              <c:f>[3]月度数据对比!$R$2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[3]月度数据对比!$R$3:$R$14</c:f>
              <c:numCache>
                <c:formatCode>General</c:formatCode>
                <c:ptCount val="12"/>
                <c:pt idx="0">
                  <c:v>0.28999999999999998</c:v>
                </c:pt>
                <c:pt idx="1">
                  <c:v>0.16800000000000001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7.1999999999999995E-2</c:v>
                </c:pt>
                <c:pt idx="8">
                  <c:v>8.4000000000000005E-2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D6-479C-98C2-025949D5A7AB}"/>
            </c:ext>
          </c:extLst>
        </c:ser>
        <c:ser>
          <c:idx val="5"/>
          <c:order val="5"/>
          <c:tx>
            <c:strRef>
              <c:f>[3]月度数据对比!$S$2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7D6-479C-98C2-025949D5A7AB}"/>
            </c:ext>
          </c:extLst>
        </c:ser>
        <c:ser>
          <c:idx val="6"/>
          <c:order val="6"/>
          <c:tx>
            <c:strRef>
              <c:f>[3]月度数据对比!$T$2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0.19400000000000001</c:v>
                </c:pt>
                <c:pt idx="2">
                  <c:v>0.17100000000000001</c:v>
                </c:pt>
                <c:pt idx="3">
                  <c:v>8.9999999999999993E-3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2E-3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7D6-479C-98C2-025949D5A7AB}"/>
            </c:ext>
          </c:extLst>
        </c:ser>
        <c:ser>
          <c:idx val="7"/>
          <c:order val="7"/>
          <c:tx>
            <c:strRef>
              <c:f>[3]月度数据对比!$U$2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0.16800000000000001</c:v>
                </c:pt>
                <c:pt idx="2">
                  <c:v>0.29199999999999998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7D6-479C-98C2-025949D5A7A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08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1.7291519295763599E-2"/>
          <c:y val="0.186779275621244"/>
          <c:w val="0.965416961408473"/>
          <c:h val="0.73061555952574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[3]月度数据对比!$B$20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9.4317377976892202E-4"/>
                  <c:y val="2.6311515348383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83-421E-BFB6-8EA9C261F4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3-421E-BFB6-8EA9C261F4F8}"/>
            </c:ext>
          </c:extLst>
        </c:ser>
        <c:ser>
          <c:idx val="1"/>
          <c:order val="1"/>
          <c:tx>
            <c:strRef>
              <c:f>[3]月度数据对比!$C$20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83-421E-BFB6-8EA9C261F4F8}"/>
            </c:ext>
          </c:extLst>
        </c:ser>
        <c:ser>
          <c:idx val="2"/>
          <c:order val="2"/>
          <c:tx>
            <c:strRef>
              <c:f>[3]月度数据对比!$D$20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83-421E-BFB6-8EA9C261F4F8}"/>
            </c:ext>
          </c:extLst>
        </c:ser>
        <c:ser>
          <c:idx val="3"/>
          <c:order val="3"/>
          <c:tx>
            <c:strRef>
              <c:f>[3]月度数据对比!$E$20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83-421E-BFB6-8EA9C261F4F8}"/>
            </c:ext>
          </c:extLst>
        </c:ser>
        <c:ser>
          <c:idx val="4"/>
          <c:order val="4"/>
          <c:tx>
            <c:strRef>
              <c:f>[3]月度数据对比!$F$20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83-421E-BFB6-8EA9C261F4F8}"/>
            </c:ext>
          </c:extLst>
        </c:ser>
        <c:ser>
          <c:idx val="5"/>
          <c:order val="5"/>
          <c:tx>
            <c:strRef>
              <c:f>[3]月度数据对比!$G$20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83-421E-BFB6-8EA9C261F4F8}"/>
            </c:ext>
          </c:extLst>
        </c:ser>
        <c:ser>
          <c:idx val="6"/>
          <c:order val="6"/>
          <c:tx>
            <c:strRef>
              <c:f>[3]月度数据对比!$H$20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883-421E-BFB6-8EA9C261F4F8}"/>
            </c:ext>
          </c:extLst>
        </c:ser>
        <c:ser>
          <c:idx val="7"/>
          <c:order val="7"/>
          <c:tx>
            <c:strRef>
              <c:f>[3]月度数据对比!$I$20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83-421E-BFB6-8EA9C261F4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28-43E0-A743-DD447560C3E7}"/>
            </c:ext>
          </c:extLst>
        </c:ser>
        <c:ser>
          <c:idx val="1"/>
          <c:order val="1"/>
          <c:tx>
            <c:strRef>
              <c:f>[3]月度数据对比!$O$20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28-43E0-A743-DD447560C3E7}"/>
            </c:ext>
          </c:extLst>
        </c:ser>
        <c:ser>
          <c:idx val="2"/>
          <c:order val="2"/>
          <c:tx>
            <c:strRef>
              <c:f>[3]月度数据对比!$P$20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28-43E0-A743-DD447560C3E7}"/>
            </c:ext>
          </c:extLst>
        </c:ser>
        <c:ser>
          <c:idx val="3"/>
          <c:order val="3"/>
          <c:tx>
            <c:strRef>
              <c:f>[3]月度数据对比!$Q$20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28-43E0-A743-DD447560C3E7}"/>
            </c:ext>
          </c:extLst>
        </c:ser>
        <c:ser>
          <c:idx val="4"/>
          <c:order val="4"/>
          <c:tx>
            <c:strRef>
              <c:f>[3]月度数据对比!$R$20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28-43E0-A743-DD447560C3E7}"/>
            </c:ext>
          </c:extLst>
        </c:ser>
        <c:ser>
          <c:idx val="5"/>
          <c:order val="5"/>
          <c:tx>
            <c:strRef>
              <c:f>[3]月度数据对比!$S$20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28-43E0-A743-DD447560C3E7}"/>
            </c:ext>
          </c:extLst>
        </c:ser>
        <c:ser>
          <c:idx val="6"/>
          <c:order val="6"/>
          <c:tx>
            <c:strRef>
              <c:f>[3]月度数据对比!$T$20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28-43E0-A743-DD447560C3E7}"/>
            </c:ext>
          </c:extLst>
        </c:ser>
        <c:ser>
          <c:idx val="7"/>
          <c:order val="7"/>
          <c:tx>
            <c:strRef>
              <c:f>[3]月度数据对比!$U$20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828-43E0-A743-DD447560C3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C3-42A6-9210-0AA4FEF8C89C}"/>
            </c:ext>
          </c:extLst>
        </c:ser>
        <c:ser>
          <c:idx val="1"/>
          <c:order val="1"/>
          <c:tx>
            <c:strRef>
              <c:f>[3]月度数据对比!$C$36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C3-42A6-9210-0AA4FEF8C89C}"/>
            </c:ext>
          </c:extLst>
        </c:ser>
        <c:ser>
          <c:idx val="2"/>
          <c:order val="2"/>
          <c:tx>
            <c:strRef>
              <c:f>[3]月度数据对比!$D$36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C3-42A6-9210-0AA4FEF8C89C}"/>
            </c:ext>
          </c:extLst>
        </c:ser>
        <c:ser>
          <c:idx val="3"/>
          <c:order val="3"/>
          <c:tx>
            <c:strRef>
              <c:f>[3]月度数据对比!$E$36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C3-42A6-9210-0AA4FEF8C89C}"/>
            </c:ext>
          </c:extLst>
        </c:ser>
        <c:ser>
          <c:idx val="4"/>
          <c:order val="4"/>
          <c:tx>
            <c:strRef>
              <c:f>[3]月度数据对比!$F$36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C3-42A6-9210-0AA4FEF8C89C}"/>
            </c:ext>
          </c:extLst>
        </c:ser>
        <c:ser>
          <c:idx val="5"/>
          <c:order val="5"/>
          <c:tx>
            <c:strRef>
              <c:f>[3]月度数据对比!$G$36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C3-42A6-9210-0AA4FEF8C89C}"/>
            </c:ext>
          </c:extLst>
        </c:ser>
        <c:ser>
          <c:idx val="6"/>
          <c:order val="6"/>
          <c:tx>
            <c:strRef>
              <c:f>[3]月度数据对比!$H$36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C3-42A6-9210-0AA4FEF8C89C}"/>
            </c:ext>
          </c:extLst>
        </c:ser>
        <c:ser>
          <c:idx val="7"/>
          <c:order val="7"/>
          <c:tx>
            <c:strRef>
              <c:f>[3]月度数据对比!$I$36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EC3-42A6-9210-0AA4FEF8C8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[3]月度数据对比!$S$36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[3]月度数据对比!$S$37:$S$48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81A0-4F38-9B1A-C9BE2FFB5CC5}"/>
            </c:ext>
          </c:extLst>
        </c:ser>
        <c:ser>
          <c:idx val="6"/>
          <c:order val="6"/>
          <c:tx>
            <c:strRef>
              <c:f>[3]月度数据对比!$T$36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[3]月度数据对比!$T$37:$T$48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81A0-4F38-9B1A-C9BE2FFB5CC5}"/>
            </c:ext>
          </c:extLst>
        </c:ser>
        <c:ser>
          <c:idx val="7"/>
          <c:order val="7"/>
          <c:tx>
            <c:strRef>
              <c:f>[3]月度数据对比!$U$36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[3]月度数据对比!$U$37:$U$48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81A0-4F38-9B1A-C9BE2FFB5C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[3]月度数据对比!$N$36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3-81A0-4F38-9B1A-C9BE2FFB5CC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81A0-4F38-9B1A-C9BE2FFB5CC5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5-81A0-4F38-9B1A-C9BE2FFB5CC5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6-81A0-4F38-9B1A-C9BE2FFB5CC5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81A0-4F38-9B1A-C9BE2FFB5CC5}"/>
                  </c:ext>
                </c:extLst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[4]月度数据对比!$B$1:$B$2</c:f>
              <c:strCache>
                <c:ptCount val="1"/>
                <c:pt idx="0">
                  <c:v>每月订单对比 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[4]月度数据对比!$B$3:$B$14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F9-4671-A7E2-38DB478E1723}"/>
            </c:ext>
          </c:extLst>
        </c:ser>
        <c:ser>
          <c:idx val="1"/>
          <c:order val="1"/>
          <c:tx>
            <c:strRef>
              <c:f>[4]月度数据对比!$C$1:$C$2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[4]月度数据对比!$C$3:$C$14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F9-4671-A7E2-38DB478E1723}"/>
            </c:ext>
          </c:extLst>
        </c:ser>
        <c:ser>
          <c:idx val="2"/>
          <c:order val="2"/>
          <c:tx>
            <c:strRef>
              <c:f>[4]月度数据对比!$D$1:$D$2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[4]月度数据对比!$D$3:$D$14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F9-4671-A7E2-38DB478E1723}"/>
            </c:ext>
          </c:extLst>
        </c:ser>
        <c:ser>
          <c:idx val="3"/>
          <c:order val="3"/>
          <c:tx>
            <c:strRef>
              <c:f>[4]月度数据对比!$E$1:$E$2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[4]月度数据对比!$E$3:$E$14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F9-4671-A7E2-38DB478E1723}"/>
            </c:ext>
          </c:extLst>
        </c:ser>
        <c:ser>
          <c:idx val="4"/>
          <c:order val="4"/>
          <c:tx>
            <c:strRef>
              <c:f>[4]月度数据对比!$F$1:$F$2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[4]月度数据对比!$F$3:$F$14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F9-4671-A7E2-38DB478E1723}"/>
            </c:ext>
          </c:extLst>
        </c:ser>
        <c:ser>
          <c:idx val="5"/>
          <c:order val="5"/>
          <c:tx>
            <c:strRef>
              <c:f>[4]月度数据对比!$G$1:$G$2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[4]月度数据对比!$G$3:$G$14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F9-4671-A7E2-38DB478E1723}"/>
            </c:ext>
          </c:extLst>
        </c:ser>
        <c:ser>
          <c:idx val="6"/>
          <c:order val="6"/>
          <c:tx>
            <c:strRef>
              <c:f>[4]月度数据对比!$H$1:$H$2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[4]月度数据对比!$H$3:$H$14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F9-4671-A7E2-38DB478E1723}"/>
            </c:ext>
          </c:extLst>
        </c:ser>
        <c:ser>
          <c:idx val="7"/>
          <c:order val="7"/>
          <c:tx>
            <c:strRef>
              <c:f>[4]月度数据对比!$I$1:$I$2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[4]月度数据对比!$I$3:$I$14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F9-4671-A7E2-38DB478E17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</a:p>
        </c:rich>
      </c:tx>
      <c:layout>
        <c:manualLayout>
          <c:xMode val="edge"/>
          <c:yMode val="edge"/>
          <c:x val="0.37897484575225399"/>
          <c:y val="1.33774834437086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[4]月度数据对比!$O$2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B4-4D28-9782-EBA9D1319B1C}"/>
            </c:ext>
          </c:extLst>
        </c:ser>
        <c:ser>
          <c:idx val="1"/>
          <c:order val="1"/>
          <c:tx>
            <c:strRef>
              <c:f>[4]月度数据对比!$P$2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[4]月度数据对比!$P$3:$P$14</c:f>
              <c:numCache>
                <c:formatCode>General</c:formatCode>
                <c:ptCount val="12"/>
                <c:pt idx="0">
                  <c:v>0.25</c:v>
                </c:pt>
                <c:pt idx="1">
                  <c:v>0.16200000000000001</c:v>
                </c:pt>
                <c:pt idx="2">
                  <c:v>7.0000000000000007E-2</c:v>
                </c:pt>
                <c:pt idx="3">
                  <c:v>0.153</c:v>
                </c:pt>
                <c:pt idx="4">
                  <c:v>0</c:v>
                </c:pt>
                <c:pt idx="5">
                  <c:v>0.13300000000000001</c:v>
                </c:pt>
                <c:pt idx="6">
                  <c:v>0.2</c:v>
                </c:pt>
                <c:pt idx="7">
                  <c:v>7.0000000000000007E-2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B4-4D28-9782-EBA9D1319B1C}"/>
            </c:ext>
          </c:extLst>
        </c:ser>
        <c:ser>
          <c:idx val="2"/>
          <c:order val="2"/>
          <c:tx>
            <c:strRef>
              <c:f>[4]月度数据对比!$Q$2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[4]月度数据对比!$Q$3:$Q$14</c:f>
              <c:numCache>
                <c:formatCode>General</c:formatCode>
                <c:ptCount val="12"/>
                <c:pt idx="0">
                  <c:v>0.20499999999999999</c:v>
                </c:pt>
                <c:pt idx="1">
                  <c:v>0.128</c:v>
                </c:pt>
                <c:pt idx="3">
                  <c:v>0.13500000000000001</c:v>
                </c:pt>
                <c:pt idx="5">
                  <c:v>3.3000000000000002E-2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B4-4D28-9782-EBA9D1319B1C}"/>
            </c:ext>
          </c:extLst>
        </c:ser>
        <c:ser>
          <c:idx val="3"/>
          <c:order val="3"/>
          <c:tx>
            <c:strRef>
              <c:f>[4]月度数据对比!$R$2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[4]月度数据对比!$R$3:$R$14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0.14299999999999999</c:v>
                </c:pt>
                <c:pt idx="4">
                  <c:v>0.18</c:v>
                </c:pt>
                <c:pt idx="5">
                  <c:v>0.17499999999999999</c:v>
                </c:pt>
                <c:pt idx="6">
                  <c:v>0.1</c:v>
                </c:pt>
                <c:pt idx="7">
                  <c:v>0.09</c:v>
                </c:pt>
                <c:pt idx="8">
                  <c:v>0.11700000000000001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B4-4D28-9782-EBA9D1319B1C}"/>
            </c:ext>
          </c:extLst>
        </c:ser>
        <c:ser>
          <c:idx val="4"/>
          <c:order val="4"/>
          <c:tx>
            <c:strRef>
              <c:f>[4]月度数据对比!$S$2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[4]月度数据对比!$S$3:$S$14</c:f>
              <c:numCache>
                <c:formatCode>General</c:formatCode>
                <c:ptCount val="12"/>
                <c:pt idx="0">
                  <c:v>0.26</c:v>
                </c:pt>
                <c:pt idx="1">
                  <c:v>0.16900000000000001</c:v>
                </c:pt>
                <c:pt idx="2">
                  <c:v>0.33300000000000002</c:v>
                </c:pt>
                <c:pt idx="3">
                  <c:v>0.28599999999999998</c:v>
                </c:pt>
                <c:pt idx="4">
                  <c:v>0.33300000000000002</c:v>
                </c:pt>
                <c:pt idx="5">
                  <c:v>0.154</c:v>
                </c:pt>
                <c:pt idx="6">
                  <c:v>0.185</c:v>
                </c:pt>
                <c:pt idx="7">
                  <c:v>6.9000000000000006E-2</c:v>
                </c:pt>
                <c:pt idx="8">
                  <c:v>0.13800000000000001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B4-4D28-9782-EBA9D1319B1C}"/>
            </c:ext>
          </c:extLst>
        </c:ser>
        <c:ser>
          <c:idx val="5"/>
          <c:order val="5"/>
          <c:tx>
            <c:strRef>
              <c:f>[4]月度数据对比!$T$2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[4]月度数据对比!$T$3:$T$14</c:f>
              <c:numCache>
                <c:formatCode>General</c:formatCode>
                <c:ptCount val="12"/>
                <c:pt idx="0">
                  <c:v>0.28999999999999998</c:v>
                </c:pt>
                <c:pt idx="1">
                  <c:v>0.16800000000000001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7.1999999999999995E-2</c:v>
                </c:pt>
                <c:pt idx="8">
                  <c:v>8.4000000000000005E-2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B4-4D28-9782-EBA9D1319B1C}"/>
            </c:ext>
          </c:extLst>
        </c:ser>
        <c:ser>
          <c:idx val="6"/>
          <c:order val="6"/>
          <c:tx>
            <c:strRef>
              <c:f>[4]月度数据对比!$U$2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[4]月度数据对比!$U$3:$U$14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B4-4D28-9782-EBA9D1319B1C}"/>
            </c:ext>
          </c:extLst>
        </c:ser>
        <c:ser>
          <c:idx val="7"/>
          <c:order val="7"/>
          <c:tx>
            <c:strRef>
              <c:f>[4]月度数据对比!$V$2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[4]月度数据对比!$V$3:$V$14</c:f>
              <c:numCache>
                <c:formatCode>General</c:formatCode>
                <c:ptCount val="12"/>
                <c:pt idx="0">
                  <c:v>0.24</c:v>
                </c:pt>
                <c:pt idx="1">
                  <c:v>0.19400000000000001</c:v>
                </c:pt>
                <c:pt idx="2">
                  <c:v>0.17100000000000001</c:v>
                </c:pt>
                <c:pt idx="3">
                  <c:v>8.9999999999999993E-3</c:v>
                </c:pt>
                <c:pt idx="4">
                  <c:v>0</c:v>
                </c:pt>
                <c:pt idx="5">
                  <c:v>0.15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2E-3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B4-4D28-9782-EBA9D1319B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08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1.7291519295763599E-2"/>
          <c:y val="0.186779275621244"/>
          <c:w val="0.965416961408473"/>
          <c:h val="0.73061555952574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[4]月度数据对比!$B$19</c:f>
              <c:strCache>
                <c:ptCount val="1"/>
                <c:pt idx="0">
                  <c:v>每月总线索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9.4317377976892202E-4"/>
                  <c:y val="2.6311515348383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8A5-4884-AC73-9CF62AC40F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A5-4884-AC73-9CF62AC40F3E}"/>
            </c:ext>
          </c:extLst>
        </c:ser>
        <c:ser>
          <c:idx val="1"/>
          <c:order val="1"/>
          <c:tx>
            <c:strRef>
              <c:f>[4]月度数据对比!$C$19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[4]月度数据对比!$C$20:$C$31</c:f>
              <c:numCache>
                <c:formatCode>General</c:formatCode>
                <c:ptCount val="12"/>
                <c:pt idx="0">
                  <c:v>0</c:v>
                </c:pt>
                <c:pt idx="1">
                  <c:v>2549</c:v>
                </c:pt>
                <c:pt idx="2">
                  <c:v>1260</c:v>
                </c:pt>
                <c:pt idx="3">
                  <c:v>369</c:v>
                </c:pt>
                <c:pt idx="4">
                  <c:v>782</c:v>
                </c:pt>
                <c:pt idx="5">
                  <c:v>15</c:v>
                </c:pt>
                <c:pt idx="6">
                  <c:v>853</c:v>
                </c:pt>
                <c:pt idx="7">
                  <c:v>396</c:v>
                </c:pt>
                <c:pt idx="8">
                  <c:v>364</c:v>
                </c:pt>
                <c:pt idx="9">
                  <c:v>417</c:v>
                </c:pt>
                <c:pt idx="10">
                  <c:v>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A5-4884-AC73-9CF62AC40F3E}"/>
            </c:ext>
          </c:extLst>
        </c:ser>
        <c:ser>
          <c:idx val="2"/>
          <c:order val="2"/>
          <c:tx>
            <c:strRef>
              <c:f>[4]月度数据对比!$D$19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[4]月度数据对比!$D$20:$D$31</c:f>
              <c:numCache>
                <c:formatCode>General</c:formatCode>
                <c:ptCount val="12"/>
                <c:pt idx="0">
                  <c:v>0</c:v>
                </c:pt>
                <c:pt idx="1">
                  <c:v>1396</c:v>
                </c:pt>
                <c:pt idx="2">
                  <c:v>635</c:v>
                </c:pt>
                <c:pt idx="3">
                  <c:v>190</c:v>
                </c:pt>
                <c:pt idx="4">
                  <c:v>632</c:v>
                </c:pt>
                <c:pt idx="5">
                  <c:v>32</c:v>
                </c:pt>
                <c:pt idx="6">
                  <c:v>605</c:v>
                </c:pt>
                <c:pt idx="7">
                  <c:v>527</c:v>
                </c:pt>
                <c:pt idx="8">
                  <c:v>198</c:v>
                </c:pt>
                <c:pt idx="9">
                  <c:v>268</c:v>
                </c:pt>
                <c:pt idx="10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A5-4884-AC73-9CF62AC40F3E}"/>
            </c:ext>
          </c:extLst>
        </c:ser>
        <c:ser>
          <c:idx val="3"/>
          <c:order val="3"/>
          <c:tx>
            <c:strRef>
              <c:f>[4]月度数据对比!$E$19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[4]月度数据对比!$E$20:$E$31</c:f>
              <c:numCache>
                <c:formatCode>General</c:formatCode>
                <c:ptCount val="12"/>
                <c:pt idx="0">
                  <c:v>0</c:v>
                </c:pt>
                <c:pt idx="1">
                  <c:v>1992</c:v>
                </c:pt>
                <c:pt idx="2">
                  <c:v>754</c:v>
                </c:pt>
                <c:pt idx="3">
                  <c:v>608</c:v>
                </c:pt>
                <c:pt idx="4">
                  <c:v>635</c:v>
                </c:pt>
                <c:pt idx="5">
                  <c:v>429</c:v>
                </c:pt>
                <c:pt idx="6">
                  <c:v>520</c:v>
                </c:pt>
                <c:pt idx="7">
                  <c:v>615</c:v>
                </c:pt>
                <c:pt idx="8">
                  <c:v>247</c:v>
                </c:pt>
                <c:pt idx="9">
                  <c:v>333</c:v>
                </c:pt>
                <c:pt idx="10">
                  <c:v>170</c:v>
                </c:pt>
                <c:pt idx="11">
                  <c:v>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A5-4884-AC73-9CF62AC40F3E}"/>
            </c:ext>
          </c:extLst>
        </c:ser>
        <c:ser>
          <c:idx val="4"/>
          <c:order val="4"/>
          <c:tx>
            <c:strRef>
              <c:f>[4]月度数据对比!$F$19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[4]月度数据对比!$F$20:$F$31</c:f>
              <c:numCache>
                <c:formatCode>General</c:formatCode>
                <c:ptCount val="12"/>
                <c:pt idx="0">
                  <c:v>0</c:v>
                </c:pt>
                <c:pt idx="1">
                  <c:v>775</c:v>
                </c:pt>
                <c:pt idx="2">
                  <c:v>680</c:v>
                </c:pt>
                <c:pt idx="3">
                  <c:v>548</c:v>
                </c:pt>
                <c:pt idx="4">
                  <c:v>570</c:v>
                </c:pt>
                <c:pt idx="5">
                  <c:v>147</c:v>
                </c:pt>
                <c:pt idx="6">
                  <c:v>432</c:v>
                </c:pt>
                <c:pt idx="7">
                  <c:v>721</c:v>
                </c:pt>
                <c:pt idx="8">
                  <c:v>305</c:v>
                </c:pt>
                <c:pt idx="9">
                  <c:v>419</c:v>
                </c:pt>
                <c:pt idx="10">
                  <c:v>104</c:v>
                </c:pt>
                <c:pt idx="1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A5-4884-AC73-9CF62AC40F3E}"/>
            </c:ext>
          </c:extLst>
        </c:ser>
        <c:ser>
          <c:idx val="5"/>
          <c:order val="5"/>
          <c:tx>
            <c:strRef>
              <c:f>[4]月度数据对比!$G$19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[4]月度数据对比!$G$20:$G$31</c:f>
              <c:numCache>
                <c:formatCode>General</c:formatCode>
                <c:ptCount val="12"/>
                <c:pt idx="0">
                  <c:v>0</c:v>
                </c:pt>
                <c:pt idx="1">
                  <c:v>1429</c:v>
                </c:pt>
                <c:pt idx="2">
                  <c:v>744</c:v>
                </c:pt>
                <c:pt idx="3">
                  <c:v>590</c:v>
                </c:pt>
                <c:pt idx="4">
                  <c:v>816</c:v>
                </c:pt>
                <c:pt idx="5">
                  <c:v>369</c:v>
                </c:pt>
                <c:pt idx="6">
                  <c:v>401</c:v>
                </c:pt>
                <c:pt idx="7">
                  <c:v>655</c:v>
                </c:pt>
                <c:pt idx="8">
                  <c:v>425</c:v>
                </c:pt>
                <c:pt idx="9">
                  <c:v>246</c:v>
                </c:pt>
                <c:pt idx="10">
                  <c:v>161</c:v>
                </c:pt>
                <c:pt idx="11">
                  <c:v>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A5-4884-AC73-9CF62AC40F3E}"/>
            </c:ext>
          </c:extLst>
        </c:ser>
        <c:ser>
          <c:idx val="6"/>
          <c:order val="6"/>
          <c:tx>
            <c:strRef>
              <c:f>[4]月度数据对比!$H$19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[4]月度数据对比!$H$20:$H$31</c:f>
              <c:numCache>
                <c:formatCode>General</c:formatCode>
                <c:ptCount val="12"/>
                <c:pt idx="0">
                  <c:v>0</c:v>
                </c:pt>
                <c:pt idx="1">
                  <c:v>1561</c:v>
                </c:pt>
                <c:pt idx="2">
                  <c:v>930</c:v>
                </c:pt>
                <c:pt idx="3">
                  <c:v>565</c:v>
                </c:pt>
                <c:pt idx="4">
                  <c:v>641</c:v>
                </c:pt>
                <c:pt idx="5">
                  <c:v>536</c:v>
                </c:pt>
                <c:pt idx="6">
                  <c:v>514</c:v>
                </c:pt>
                <c:pt idx="7">
                  <c:v>653</c:v>
                </c:pt>
                <c:pt idx="8">
                  <c:v>499</c:v>
                </c:pt>
                <c:pt idx="9">
                  <c:v>250</c:v>
                </c:pt>
                <c:pt idx="10">
                  <c:v>162</c:v>
                </c:pt>
                <c:pt idx="11">
                  <c:v>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8A5-4884-AC73-9CF62AC40F3E}"/>
            </c:ext>
          </c:extLst>
        </c:ser>
        <c:ser>
          <c:idx val="7"/>
          <c:order val="7"/>
          <c:tx>
            <c:strRef>
              <c:f>[4]月度数据对比!$I$19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[4]月度数据对比!$I$20:$I$31</c:f>
              <c:numCache>
                <c:formatCode>General</c:formatCode>
                <c:ptCount val="12"/>
                <c:pt idx="0">
                  <c:v>0</c:v>
                </c:pt>
                <c:pt idx="1">
                  <c:v>1537</c:v>
                </c:pt>
                <c:pt idx="2">
                  <c:v>1040</c:v>
                </c:pt>
                <c:pt idx="3">
                  <c:v>654</c:v>
                </c:pt>
                <c:pt idx="4">
                  <c:v>830</c:v>
                </c:pt>
                <c:pt idx="5">
                  <c:v>462</c:v>
                </c:pt>
                <c:pt idx="6">
                  <c:v>525</c:v>
                </c:pt>
                <c:pt idx="7">
                  <c:v>870</c:v>
                </c:pt>
                <c:pt idx="8">
                  <c:v>682</c:v>
                </c:pt>
                <c:pt idx="9">
                  <c:v>387</c:v>
                </c:pt>
                <c:pt idx="10">
                  <c:v>166</c:v>
                </c:pt>
                <c:pt idx="11">
                  <c:v>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A5-4884-AC73-9CF62AC40F3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[4]月度数据对比!$O$19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[4]月度数据对比!$O$20:$O$31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13-44AD-8ABB-C7EE6E54B27E}"/>
            </c:ext>
          </c:extLst>
        </c:ser>
        <c:ser>
          <c:idx val="1"/>
          <c:order val="1"/>
          <c:tx>
            <c:strRef>
              <c:f>[4]月度数据对比!$P$19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[4]月度数据对比!$P$20:$P$31</c:f>
              <c:numCache>
                <c:formatCode>General</c:formatCode>
                <c:ptCount val="12"/>
                <c:pt idx="0">
                  <c:v>0</c:v>
                </c:pt>
                <c:pt idx="1">
                  <c:v>136</c:v>
                </c:pt>
                <c:pt idx="2">
                  <c:v>77</c:v>
                </c:pt>
                <c:pt idx="3">
                  <c:v>18</c:v>
                </c:pt>
                <c:pt idx="4">
                  <c:v>32</c:v>
                </c:pt>
                <c:pt idx="5">
                  <c:v>3</c:v>
                </c:pt>
                <c:pt idx="6">
                  <c:v>45</c:v>
                </c:pt>
                <c:pt idx="7">
                  <c:v>25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13-44AD-8ABB-C7EE6E54B27E}"/>
            </c:ext>
          </c:extLst>
        </c:ser>
        <c:ser>
          <c:idx val="2"/>
          <c:order val="2"/>
          <c:tx>
            <c:strRef>
              <c:f>[4]月度数据对比!$Q$19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[4]月度数据对比!$Q$20:$Q$31</c:f>
              <c:numCache>
                <c:formatCode>General</c:formatCode>
                <c:ptCount val="12"/>
                <c:pt idx="0">
                  <c:v>0</c:v>
                </c:pt>
                <c:pt idx="1">
                  <c:v>77</c:v>
                </c:pt>
                <c:pt idx="2">
                  <c:v>34</c:v>
                </c:pt>
                <c:pt idx="3">
                  <c:v>7</c:v>
                </c:pt>
                <c:pt idx="4">
                  <c:v>30</c:v>
                </c:pt>
                <c:pt idx="5">
                  <c:v>11</c:v>
                </c:pt>
                <c:pt idx="6">
                  <c:v>45</c:v>
                </c:pt>
                <c:pt idx="7">
                  <c:v>32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13-44AD-8ABB-C7EE6E54B27E}"/>
            </c:ext>
          </c:extLst>
        </c:ser>
        <c:ser>
          <c:idx val="3"/>
          <c:order val="3"/>
          <c:tx>
            <c:strRef>
              <c:f>[4]月度数据对比!$R$19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[4]月度数据对比!$R$20:$R$31</c:f>
              <c:numCache>
                <c:formatCode>General</c:formatCode>
                <c:ptCount val="12"/>
                <c:pt idx="0">
                  <c:v>0</c:v>
                </c:pt>
                <c:pt idx="1">
                  <c:v>113</c:v>
                </c:pt>
                <c:pt idx="2">
                  <c:v>45</c:v>
                </c:pt>
                <c:pt idx="3">
                  <c:v>42</c:v>
                </c:pt>
                <c:pt idx="4">
                  <c:v>29</c:v>
                </c:pt>
                <c:pt idx="5">
                  <c:v>29</c:v>
                </c:pt>
                <c:pt idx="6">
                  <c:v>51</c:v>
                </c:pt>
                <c:pt idx="7">
                  <c:v>70</c:v>
                </c:pt>
                <c:pt idx="8">
                  <c:v>16</c:v>
                </c:pt>
                <c:pt idx="9">
                  <c:v>24</c:v>
                </c:pt>
                <c:pt idx="10">
                  <c:v>10</c:v>
                </c:pt>
                <c:pt idx="11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13-44AD-8ABB-C7EE6E54B27E}"/>
            </c:ext>
          </c:extLst>
        </c:ser>
        <c:ser>
          <c:idx val="4"/>
          <c:order val="4"/>
          <c:tx>
            <c:strRef>
              <c:f>[4]月度数据对比!$S$19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[4]月度数据对比!$S$20:$S$31</c:f>
              <c:numCache>
                <c:formatCode>General</c:formatCode>
                <c:ptCount val="12"/>
                <c:pt idx="0">
                  <c:v>0</c:v>
                </c:pt>
                <c:pt idx="1">
                  <c:v>63</c:v>
                </c:pt>
                <c:pt idx="2">
                  <c:v>65</c:v>
                </c:pt>
                <c:pt idx="3">
                  <c:v>56</c:v>
                </c:pt>
                <c:pt idx="4">
                  <c:v>17</c:v>
                </c:pt>
                <c:pt idx="5">
                  <c:v>24</c:v>
                </c:pt>
                <c:pt idx="6">
                  <c:v>61</c:v>
                </c:pt>
                <c:pt idx="7">
                  <c:v>68</c:v>
                </c:pt>
                <c:pt idx="8">
                  <c:v>25</c:v>
                </c:pt>
                <c:pt idx="9">
                  <c:v>47</c:v>
                </c:pt>
                <c:pt idx="10">
                  <c:v>11</c:v>
                </c:pt>
                <c:pt idx="11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13-44AD-8ABB-C7EE6E54B27E}"/>
            </c:ext>
          </c:extLst>
        </c:ser>
        <c:ser>
          <c:idx val="5"/>
          <c:order val="5"/>
          <c:tx>
            <c:strRef>
              <c:f>[4]月度数据对比!$T$19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[4]月度数据对比!$T$20:$T$31</c:f>
              <c:numCache>
                <c:formatCode>General</c:formatCode>
                <c:ptCount val="12"/>
                <c:pt idx="0">
                  <c:v>0</c:v>
                </c:pt>
                <c:pt idx="1">
                  <c:v>86</c:v>
                </c:pt>
                <c:pt idx="2">
                  <c:v>65</c:v>
                </c:pt>
                <c:pt idx="3">
                  <c:v>44</c:v>
                </c:pt>
                <c:pt idx="4">
                  <c:v>32</c:v>
                </c:pt>
                <c:pt idx="5">
                  <c:v>20</c:v>
                </c:pt>
                <c:pt idx="6">
                  <c:v>40</c:v>
                </c:pt>
                <c:pt idx="7">
                  <c:v>86</c:v>
                </c:pt>
                <c:pt idx="8">
                  <c:v>28</c:v>
                </c:pt>
                <c:pt idx="9">
                  <c:v>27</c:v>
                </c:pt>
                <c:pt idx="10">
                  <c:v>34</c:v>
                </c:pt>
                <c:pt idx="11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13-44AD-8ABB-C7EE6E54B27E}"/>
            </c:ext>
          </c:extLst>
        </c:ser>
        <c:ser>
          <c:idx val="6"/>
          <c:order val="6"/>
          <c:tx>
            <c:strRef>
              <c:f>[4]月度数据对比!$U$19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[4]月度数据对比!$U$20:$U$31</c:f>
              <c:numCache>
                <c:formatCode>General</c:formatCode>
                <c:ptCount val="12"/>
                <c:pt idx="0">
                  <c:v>0</c:v>
                </c:pt>
                <c:pt idx="1">
                  <c:v>65</c:v>
                </c:pt>
                <c:pt idx="2">
                  <c:v>67</c:v>
                </c:pt>
                <c:pt idx="3">
                  <c:v>34</c:v>
                </c:pt>
                <c:pt idx="4">
                  <c:v>24</c:v>
                </c:pt>
                <c:pt idx="5">
                  <c:v>13</c:v>
                </c:pt>
                <c:pt idx="6">
                  <c:v>89</c:v>
                </c:pt>
                <c:pt idx="7">
                  <c:v>107</c:v>
                </c:pt>
                <c:pt idx="8">
                  <c:v>37</c:v>
                </c:pt>
                <c:pt idx="9">
                  <c:v>26</c:v>
                </c:pt>
                <c:pt idx="10">
                  <c:v>24</c:v>
                </c:pt>
                <c:pt idx="11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13-44AD-8ABB-C7EE6E54B27E}"/>
            </c:ext>
          </c:extLst>
        </c:ser>
        <c:ser>
          <c:idx val="7"/>
          <c:order val="7"/>
          <c:tx>
            <c:strRef>
              <c:f>[4]月度数据对比!$V$19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[4]月度数据对比!$V$20:$V$31</c:f>
              <c:numCache>
                <c:formatCode>General</c:formatCode>
                <c:ptCount val="12"/>
                <c:pt idx="0">
                  <c:v>0</c:v>
                </c:pt>
                <c:pt idx="1">
                  <c:v>69</c:v>
                </c:pt>
                <c:pt idx="2">
                  <c:v>79</c:v>
                </c:pt>
                <c:pt idx="3">
                  <c:v>60</c:v>
                </c:pt>
                <c:pt idx="4">
                  <c:v>51</c:v>
                </c:pt>
                <c:pt idx="5">
                  <c:v>4</c:v>
                </c:pt>
                <c:pt idx="6">
                  <c:v>89</c:v>
                </c:pt>
                <c:pt idx="7">
                  <c:v>108</c:v>
                </c:pt>
                <c:pt idx="8">
                  <c:v>19</c:v>
                </c:pt>
                <c:pt idx="9">
                  <c:v>33</c:v>
                </c:pt>
                <c:pt idx="10">
                  <c:v>20</c:v>
                </c:pt>
                <c:pt idx="11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F13-44AD-8ABB-C7EE6E54B27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[4]月度数据对比!$B$34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[4]月度数据对比!$B$35:$B$46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67-4C87-BC36-81F337A8C9AF}"/>
            </c:ext>
          </c:extLst>
        </c:ser>
        <c:ser>
          <c:idx val="1"/>
          <c:order val="1"/>
          <c:tx>
            <c:strRef>
              <c:f>[4]月度数据对比!$C$34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[4]月度数据对比!$C$35:$C$46</c:f>
              <c:numCache>
                <c:formatCode>General</c:formatCode>
                <c:ptCount val="12"/>
                <c:pt idx="1">
                  <c:v>0</c:v>
                </c:pt>
                <c:pt idx="2">
                  <c:v>1750</c:v>
                </c:pt>
                <c:pt idx="3">
                  <c:v>400</c:v>
                </c:pt>
                <c:pt idx="4">
                  <c:v>174</c:v>
                </c:pt>
                <c:pt idx="5">
                  <c:v>514</c:v>
                </c:pt>
                <c:pt idx="6">
                  <c:v>0</c:v>
                </c:pt>
                <c:pt idx="7">
                  <c:v>622</c:v>
                </c:pt>
                <c:pt idx="8">
                  <c:v>71</c:v>
                </c:pt>
                <c:pt idx="9">
                  <c:v>18</c:v>
                </c:pt>
                <c:pt idx="10">
                  <c:v>20</c:v>
                </c:pt>
                <c:pt idx="11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67-4C87-BC36-81F337A8C9AF}"/>
            </c:ext>
          </c:extLst>
        </c:ser>
        <c:ser>
          <c:idx val="2"/>
          <c:order val="2"/>
          <c:tx>
            <c:strRef>
              <c:f>[4]月度数据对比!$D$34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[4]月度数据对比!$D$35:$D$46</c:f>
              <c:numCache>
                <c:formatCode>General</c:formatCode>
                <c:ptCount val="12"/>
                <c:pt idx="1">
                  <c:v>0</c:v>
                </c:pt>
                <c:pt idx="2">
                  <c:v>1011</c:v>
                </c:pt>
                <c:pt idx="3">
                  <c:v>297</c:v>
                </c:pt>
                <c:pt idx="4">
                  <c:v>154</c:v>
                </c:pt>
                <c:pt idx="5">
                  <c:v>542</c:v>
                </c:pt>
                <c:pt idx="6">
                  <c:v>23</c:v>
                </c:pt>
                <c:pt idx="7">
                  <c:v>461</c:v>
                </c:pt>
                <c:pt idx="8">
                  <c:v>253</c:v>
                </c:pt>
                <c:pt idx="9">
                  <c:v>66</c:v>
                </c:pt>
                <c:pt idx="10">
                  <c:v>3</c:v>
                </c:pt>
                <c:pt idx="11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67-4C87-BC36-81F337A8C9AF}"/>
            </c:ext>
          </c:extLst>
        </c:ser>
        <c:ser>
          <c:idx val="3"/>
          <c:order val="3"/>
          <c:tx>
            <c:strRef>
              <c:f>[4]月度数据对比!$E$34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[4]月度数据对比!$E$35:$E$46</c:f>
              <c:numCache>
                <c:formatCode>General</c:formatCode>
                <c:ptCount val="12"/>
                <c:pt idx="1">
                  <c:v>0</c:v>
                </c:pt>
                <c:pt idx="2">
                  <c:v>1368</c:v>
                </c:pt>
                <c:pt idx="3">
                  <c:v>355</c:v>
                </c:pt>
                <c:pt idx="4">
                  <c:v>423</c:v>
                </c:pt>
                <c:pt idx="5">
                  <c:v>405</c:v>
                </c:pt>
                <c:pt idx="6">
                  <c:v>314</c:v>
                </c:pt>
                <c:pt idx="7">
                  <c:v>432</c:v>
                </c:pt>
                <c:pt idx="8">
                  <c:v>370</c:v>
                </c:pt>
                <c:pt idx="9">
                  <c:v>159</c:v>
                </c:pt>
                <c:pt idx="10">
                  <c:v>107</c:v>
                </c:pt>
                <c:pt idx="11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67-4C87-BC36-81F337A8C9AF}"/>
            </c:ext>
          </c:extLst>
        </c:ser>
        <c:ser>
          <c:idx val="4"/>
          <c:order val="4"/>
          <c:tx>
            <c:strRef>
              <c:f>[4]月度数据对比!$F$34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[4]月度数据对比!$F$35:$F$46</c:f>
              <c:numCache>
                <c:formatCode>General</c:formatCode>
                <c:ptCount val="12"/>
                <c:pt idx="1">
                  <c:v>0</c:v>
                </c:pt>
                <c:pt idx="2">
                  <c:v>621</c:v>
                </c:pt>
                <c:pt idx="3">
                  <c:v>344</c:v>
                </c:pt>
                <c:pt idx="4">
                  <c:v>433</c:v>
                </c:pt>
                <c:pt idx="5">
                  <c:v>393</c:v>
                </c:pt>
                <c:pt idx="6">
                  <c:v>117</c:v>
                </c:pt>
                <c:pt idx="7">
                  <c:v>339</c:v>
                </c:pt>
                <c:pt idx="8">
                  <c:v>428</c:v>
                </c:pt>
                <c:pt idx="9">
                  <c:v>192</c:v>
                </c:pt>
                <c:pt idx="10">
                  <c:v>206</c:v>
                </c:pt>
                <c:pt idx="1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67-4C87-BC36-81F337A8C9AF}"/>
            </c:ext>
          </c:extLst>
        </c:ser>
        <c:ser>
          <c:idx val="5"/>
          <c:order val="5"/>
          <c:tx>
            <c:strRef>
              <c:f>[4]月度数据对比!$G$34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[4]月度数据对比!$G$35:$G$46</c:f>
              <c:numCache>
                <c:formatCode>General</c:formatCode>
                <c:ptCount val="12"/>
                <c:pt idx="1">
                  <c:v>0</c:v>
                </c:pt>
                <c:pt idx="2">
                  <c:v>1172</c:v>
                </c:pt>
                <c:pt idx="3">
                  <c:v>299</c:v>
                </c:pt>
                <c:pt idx="4">
                  <c:v>552</c:v>
                </c:pt>
                <c:pt idx="5">
                  <c:v>615</c:v>
                </c:pt>
                <c:pt idx="6">
                  <c:v>263</c:v>
                </c:pt>
                <c:pt idx="7">
                  <c:v>305</c:v>
                </c:pt>
                <c:pt idx="8">
                  <c:v>460</c:v>
                </c:pt>
                <c:pt idx="9">
                  <c:v>232</c:v>
                </c:pt>
                <c:pt idx="10">
                  <c:v>206</c:v>
                </c:pt>
                <c:pt idx="11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67-4C87-BC36-81F337A8C9AF}"/>
            </c:ext>
          </c:extLst>
        </c:ser>
        <c:ser>
          <c:idx val="6"/>
          <c:order val="6"/>
          <c:tx>
            <c:strRef>
              <c:f>[4]月度数据对比!$H$34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[4]月度数据对比!$H$35:$H$46</c:f>
              <c:numCache>
                <c:formatCode>General</c:formatCode>
                <c:ptCount val="12"/>
                <c:pt idx="1">
                  <c:v>0</c:v>
                </c:pt>
                <c:pt idx="2">
                  <c:v>1311</c:v>
                </c:pt>
                <c:pt idx="3">
                  <c:v>566</c:v>
                </c:pt>
                <c:pt idx="4">
                  <c:v>453</c:v>
                </c:pt>
                <c:pt idx="5">
                  <c:v>459</c:v>
                </c:pt>
                <c:pt idx="6">
                  <c:v>379</c:v>
                </c:pt>
                <c:pt idx="7">
                  <c:v>399</c:v>
                </c:pt>
                <c:pt idx="8">
                  <c:v>501</c:v>
                </c:pt>
                <c:pt idx="9">
                  <c:v>296</c:v>
                </c:pt>
                <c:pt idx="10">
                  <c:v>161</c:v>
                </c:pt>
                <c:pt idx="11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67-4C87-BC36-81F337A8C9AF}"/>
            </c:ext>
          </c:extLst>
        </c:ser>
        <c:ser>
          <c:idx val="7"/>
          <c:order val="7"/>
          <c:tx>
            <c:strRef>
              <c:f>[4]月度数据对比!$I$34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[4]月度数据对比!$A$35:$A$46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[4]月度数据对比!$I$35:$I$46</c:f>
              <c:numCache>
                <c:formatCode>General</c:formatCode>
                <c:ptCount val="12"/>
                <c:pt idx="1">
                  <c:v>0</c:v>
                </c:pt>
                <c:pt idx="2">
                  <c:v>1149</c:v>
                </c:pt>
                <c:pt idx="3">
                  <c:v>692</c:v>
                </c:pt>
                <c:pt idx="4">
                  <c:v>499</c:v>
                </c:pt>
                <c:pt idx="5">
                  <c:v>690</c:v>
                </c:pt>
                <c:pt idx="6">
                  <c:v>398</c:v>
                </c:pt>
                <c:pt idx="7">
                  <c:v>409</c:v>
                </c:pt>
                <c:pt idx="8">
                  <c:v>709</c:v>
                </c:pt>
                <c:pt idx="9">
                  <c:v>374</c:v>
                </c:pt>
                <c:pt idx="10">
                  <c:v>145</c:v>
                </c:pt>
                <c:pt idx="11">
                  <c:v>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67-4C87-BC36-81F337A8C9A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438-489F-803B-D29C3B850694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438-489F-803B-D29C3B850694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438-489F-803B-D29C3B8506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3-4438-489F-803B-D29C3B850694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4-4438-489F-803B-D29C3B850694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5-4438-489F-803B-D29C3B850694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6-4438-489F-803B-D29C3B850694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5="http://schemas.microsoft.com/office/drawing/2012/chart"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  <c:strCache>
                            <c:ptCount val="1"/>
                          </c:strCache>
                        </c:strRef>
                      </c15:tx>
                    </c15:filteredSeriesTitle>
                  </c:ext>
                  <c:ext xmlns:c15="http://schemas.microsoft.com/office/drawing/2012/chart"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[3]月度数据对比!#REF!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7-4438-489F-803B-D29C3B850694}"/>
                  </c:ext>
                </c:extLst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C9-43D7-9DDD-BF09D5A26835}"/>
            </c:ext>
          </c:extLst>
        </c:ser>
        <c:ser>
          <c:idx val="1"/>
          <c:order val="1"/>
          <c:tx>
            <c:strRef>
              <c:f>[3]月度数据对比!$C$1:$C$2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C9-43D7-9DDD-BF09D5A26835}"/>
            </c:ext>
          </c:extLst>
        </c:ser>
        <c:ser>
          <c:idx val="2"/>
          <c:order val="2"/>
          <c:tx>
            <c:strRef>
              <c:f>[3]月度数据对比!$D$1:$D$2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9-43D7-9DDD-BF09D5A26835}"/>
            </c:ext>
          </c:extLst>
        </c:ser>
        <c:ser>
          <c:idx val="3"/>
          <c:order val="3"/>
          <c:tx>
            <c:strRef>
              <c:f>[3]月度数据对比!$E$1:$E$2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C9-43D7-9DDD-BF09D5A26835}"/>
            </c:ext>
          </c:extLst>
        </c:ser>
        <c:ser>
          <c:idx val="4"/>
          <c:order val="4"/>
          <c:tx>
            <c:strRef>
              <c:f>[3]月度数据对比!$F$1:$F$2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C9-43D7-9DDD-BF09D5A26835}"/>
            </c:ext>
          </c:extLst>
        </c:ser>
        <c:ser>
          <c:idx val="5"/>
          <c:order val="5"/>
          <c:tx>
            <c:strRef>
              <c:f>[3]月度数据对比!$G$1:$G$2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C9-43D7-9DDD-BF09D5A26835}"/>
            </c:ext>
          </c:extLst>
        </c:ser>
        <c:ser>
          <c:idx val="6"/>
          <c:order val="6"/>
          <c:tx>
            <c:strRef>
              <c:f>[3]月度数据对比!$H$1:$H$2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C9-43D7-9DDD-BF09D5A26835}"/>
            </c:ext>
          </c:extLst>
        </c:ser>
        <c:ser>
          <c:idx val="7"/>
          <c:order val="7"/>
          <c:tx>
            <c:strRef>
              <c:f>[3]月度数据对比!$I$1:$I$2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C9-43D7-9DDD-BF09D5A268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</a:p>
        </c:rich>
      </c:tx>
      <c:layout>
        <c:manualLayout>
          <c:xMode val="edge"/>
          <c:yMode val="edge"/>
          <c:x val="0.37897484575225399"/>
          <c:y val="1.33774834437086E-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0.16200000000000001</c:v>
                </c:pt>
                <c:pt idx="2">
                  <c:v>7.0000000000000007E-2</c:v>
                </c:pt>
                <c:pt idx="3">
                  <c:v>0.153</c:v>
                </c:pt>
                <c:pt idx="4">
                  <c:v>0</c:v>
                </c:pt>
                <c:pt idx="5">
                  <c:v>0.13300000000000001</c:v>
                </c:pt>
                <c:pt idx="6">
                  <c:v>0.2</c:v>
                </c:pt>
                <c:pt idx="7">
                  <c:v>7.0000000000000007E-2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9-4119-AE03-409DD382CBB9}"/>
            </c:ext>
          </c:extLst>
        </c:ser>
        <c:ser>
          <c:idx val="1"/>
          <c:order val="1"/>
          <c:tx>
            <c:strRef>
              <c:f>[3]月度数据对比!$O$2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2.6033449037551298E-3"/>
                  <c:y val="-4.20660276890309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C9-4119-AE03-409DD382CB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[3]月度数据对比!$O$3:$O$14</c:f>
              <c:numCache>
                <c:formatCode>General</c:formatCode>
                <c:ptCount val="12"/>
                <c:pt idx="0">
                  <c:v>0.20499999999999999</c:v>
                </c:pt>
                <c:pt idx="1">
                  <c:v>0.128</c:v>
                </c:pt>
                <c:pt idx="3">
                  <c:v>0.13500000000000001</c:v>
                </c:pt>
                <c:pt idx="5">
                  <c:v>3.3000000000000002E-2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9-4119-AE03-409DD382CBB9}"/>
            </c:ext>
          </c:extLst>
        </c:ser>
        <c:ser>
          <c:idx val="2"/>
          <c:order val="2"/>
          <c:tx>
            <c:strRef>
              <c:f>[3]月度数据对比!$P$2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1.88427416189056E-3"/>
                  <c:y val="1.7280042210790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C9-4119-AE03-409DD382CB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0.14299999999999999</c:v>
                </c:pt>
                <c:pt idx="4">
                  <c:v>0.18</c:v>
                </c:pt>
                <c:pt idx="5">
                  <c:v>0.17499999999999999</c:v>
                </c:pt>
                <c:pt idx="6">
                  <c:v>0.1</c:v>
                </c:pt>
                <c:pt idx="7">
                  <c:v>0.09</c:v>
                </c:pt>
                <c:pt idx="8">
                  <c:v>0.11700000000000001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C9-4119-AE03-409DD382CBB9}"/>
            </c:ext>
          </c:extLst>
        </c:ser>
        <c:ser>
          <c:idx val="3"/>
          <c:order val="3"/>
          <c:tx>
            <c:strRef>
              <c:f>[3]月度数据对比!$Q$2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8.4007223050953893E-3"/>
                  <c:y val="-4.4057512201556501E-2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C9-4119-AE03-409DD382CB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0.16900000000000001</c:v>
                </c:pt>
                <c:pt idx="2">
                  <c:v>0.33300000000000002</c:v>
                </c:pt>
                <c:pt idx="3">
                  <c:v>0.28599999999999998</c:v>
                </c:pt>
                <c:pt idx="4">
                  <c:v>0.33300000000000002</c:v>
                </c:pt>
                <c:pt idx="5">
                  <c:v>0.154</c:v>
                </c:pt>
                <c:pt idx="6">
                  <c:v>0.185</c:v>
                </c:pt>
                <c:pt idx="7">
                  <c:v>6.9000000000000006E-2</c:v>
                </c:pt>
                <c:pt idx="8">
                  <c:v>0.13800000000000001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C9-4119-AE03-409DD382CBB9}"/>
            </c:ext>
          </c:extLst>
        </c:ser>
        <c:ser>
          <c:idx val="4"/>
          <c:order val="4"/>
          <c:tx>
            <c:strRef>
              <c:f>[3]月度数据对比!$R$2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[3]月度数据对比!$R$3:$R$14</c:f>
              <c:numCache>
                <c:formatCode>General</c:formatCode>
                <c:ptCount val="12"/>
                <c:pt idx="0">
                  <c:v>0.28999999999999998</c:v>
                </c:pt>
                <c:pt idx="1">
                  <c:v>0.16800000000000001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7.1999999999999995E-2</c:v>
                </c:pt>
                <c:pt idx="8">
                  <c:v>8.4000000000000005E-2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CC9-4119-AE03-409DD382CBB9}"/>
            </c:ext>
          </c:extLst>
        </c:ser>
        <c:ser>
          <c:idx val="5"/>
          <c:order val="5"/>
          <c:tx>
            <c:strRef>
              <c:f>[3]月度数据对比!$S$2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CC9-4119-AE03-409DD382CBB9}"/>
            </c:ext>
          </c:extLst>
        </c:ser>
        <c:ser>
          <c:idx val="6"/>
          <c:order val="6"/>
          <c:tx>
            <c:strRef>
              <c:f>[3]月度数据对比!$T$2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0.19400000000000001</c:v>
                </c:pt>
                <c:pt idx="2">
                  <c:v>0.17100000000000001</c:v>
                </c:pt>
                <c:pt idx="3">
                  <c:v>8.9999999999999993E-3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2E-3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CC9-4119-AE03-409DD382CBB9}"/>
            </c:ext>
          </c:extLst>
        </c:ser>
        <c:ser>
          <c:idx val="7"/>
          <c:order val="7"/>
          <c:tx>
            <c:strRef>
              <c:f>[3]月度数据对比!$U$2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0.16800000000000001</c:v>
                </c:pt>
                <c:pt idx="2">
                  <c:v>0.29199999999999998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CC9-4119-AE03-409DD382CB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08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1.7291519295763599E-2"/>
          <c:y val="0.186779275621244"/>
          <c:w val="0.965416961408473"/>
          <c:h val="0.730615559525742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[3]月度数据对比!$B$20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9.4317377976892202E-4"/>
                  <c:y val="2.6311515348383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1EF-43D1-8120-F77721196B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EF-43D1-8120-F77721196B07}"/>
            </c:ext>
          </c:extLst>
        </c:ser>
        <c:ser>
          <c:idx val="1"/>
          <c:order val="1"/>
          <c:tx>
            <c:strRef>
              <c:f>[3]月度数据对比!$C$20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EF-43D1-8120-F77721196B07}"/>
            </c:ext>
          </c:extLst>
        </c:ser>
        <c:ser>
          <c:idx val="2"/>
          <c:order val="2"/>
          <c:tx>
            <c:strRef>
              <c:f>[3]月度数据对比!$D$20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EF-43D1-8120-F77721196B07}"/>
            </c:ext>
          </c:extLst>
        </c:ser>
        <c:ser>
          <c:idx val="3"/>
          <c:order val="3"/>
          <c:tx>
            <c:strRef>
              <c:f>[3]月度数据对比!$E$20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EF-43D1-8120-F77721196B07}"/>
            </c:ext>
          </c:extLst>
        </c:ser>
        <c:ser>
          <c:idx val="4"/>
          <c:order val="4"/>
          <c:tx>
            <c:strRef>
              <c:f>[3]月度数据对比!$F$20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EF-43D1-8120-F77721196B07}"/>
            </c:ext>
          </c:extLst>
        </c:ser>
        <c:ser>
          <c:idx val="5"/>
          <c:order val="5"/>
          <c:tx>
            <c:strRef>
              <c:f>[3]月度数据对比!$G$20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1EF-43D1-8120-F77721196B07}"/>
            </c:ext>
          </c:extLst>
        </c:ser>
        <c:ser>
          <c:idx val="6"/>
          <c:order val="6"/>
          <c:tx>
            <c:strRef>
              <c:f>[3]月度数据对比!$H$20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1EF-43D1-8120-F77721196B07}"/>
            </c:ext>
          </c:extLst>
        </c:ser>
        <c:ser>
          <c:idx val="7"/>
          <c:order val="7"/>
          <c:tx>
            <c:strRef>
              <c:f>[3]月度数据对比!$I$20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1EF-43D1-8120-F77721196B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A-4DE4-BBB3-05233B467654}"/>
            </c:ext>
          </c:extLst>
        </c:ser>
        <c:ser>
          <c:idx val="1"/>
          <c:order val="1"/>
          <c:tx>
            <c:strRef>
              <c:f>[3]月度数据对比!$O$20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A-4DE4-BBB3-05233B467654}"/>
            </c:ext>
          </c:extLst>
        </c:ser>
        <c:ser>
          <c:idx val="2"/>
          <c:order val="2"/>
          <c:tx>
            <c:strRef>
              <c:f>[3]月度数据对比!$P$20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A-4DE4-BBB3-05233B467654}"/>
            </c:ext>
          </c:extLst>
        </c:ser>
        <c:ser>
          <c:idx val="3"/>
          <c:order val="3"/>
          <c:tx>
            <c:strRef>
              <c:f>[3]月度数据对比!$Q$20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5A-4DE4-BBB3-05233B467654}"/>
            </c:ext>
          </c:extLst>
        </c:ser>
        <c:ser>
          <c:idx val="4"/>
          <c:order val="4"/>
          <c:tx>
            <c:strRef>
              <c:f>[3]月度数据对比!$R$20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5A-4DE4-BBB3-05233B467654}"/>
            </c:ext>
          </c:extLst>
        </c:ser>
        <c:ser>
          <c:idx val="5"/>
          <c:order val="5"/>
          <c:tx>
            <c:strRef>
              <c:f>[3]月度数据对比!$S$20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5A-4DE4-BBB3-05233B467654}"/>
            </c:ext>
          </c:extLst>
        </c:ser>
        <c:ser>
          <c:idx val="6"/>
          <c:order val="6"/>
          <c:tx>
            <c:strRef>
              <c:f>[3]月度数据对比!$T$20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5A-4DE4-BBB3-05233B467654}"/>
            </c:ext>
          </c:extLst>
        </c:ser>
        <c:ser>
          <c:idx val="7"/>
          <c:order val="7"/>
          <c:tx>
            <c:strRef>
              <c:f>[3]月度数据对比!$U$20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35A-4DE4-BBB3-05233B46765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2-4149-8030-ED62A291C5B3}"/>
            </c:ext>
          </c:extLst>
        </c:ser>
        <c:ser>
          <c:idx val="1"/>
          <c:order val="1"/>
          <c:tx>
            <c:strRef>
              <c:f>[3]月度数据对比!$C$36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B2-4149-8030-ED62A291C5B3}"/>
            </c:ext>
          </c:extLst>
        </c:ser>
        <c:ser>
          <c:idx val="2"/>
          <c:order val="2"/>
          <c:tx>
            <c:strRef>
              <c:f>[3]月度数据对比!$D$36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B2-4149-8030-ED62A291C5B3}"/>
            </c:ext>
          </c:extLst>
        </c:ser>
        <c:ser>
          <c:idx val="3"/>
          <c:order val="3"/>
          <c:tx>
            <c:strRef>
              <c:f>[3]月度数据对比!$E$36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B2-4149-8030-ED62A291C5B3}"/>
            </c:ext>
          </c:extLst>
        </c:ser>
        <c:ser>
          <c:idx val="4"/>
          <c:order val="4"/>
          <c:tx>
            <c:strRef>
              <c:f>[3]月度数据对比!$F$36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B2-4149-8030-ED62A291C5B3}"/>
            </c:ext>
          </c:extLst>
        </c:ser>
        <c:ser>
          <c:idx val="5"/>
          <c:order val="5"/>
          <c:tx>
            <c:strRef>
              <c:f>[3]月度数据对比!$G$36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B2-4149-8030-ED62A291C5B3}"/>
            </c:ext>
          </c:extLst>
        </c:ser>
        <c:ser>
          <c:idx val="6"/>
          <c:order val="6"/>
          <c:tx>
            <c:strRef>
              <c:f>[3]月度数据对比!$H$36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B2-4149-8030-ED62A291C5B3}"/>
            </c:ext>
          </c:extLst>
        </c:ser>
        <c:ser>
          <c:idx val="7"/>
          <c:order val="7"/>
          <c:tx>
            <c:strRef>
              <c:f>[3]月度数据对比!$I$36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BB2-4149-8030-ED62A291C5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14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[3]月度数据对比!$S$36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[3]月度数据对比!$S$37:$S$48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E8BD-4D08-BE58-883B266FD6C9}"/>
            </c:ext>
          </c:extLst>
        </c:ser>
        <c:ser>
          <c:idx val="6"/>
          <c:order val="6"/>
          <c:tx>
            <c:strRef>
              <c:f>[3]月度数据对比!$T$36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[3]月度数据对比!$T$37:$T$48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E8BD-4D08-BE58-883B266FD6C9}"/>
            </c:ext>
          </c:extLst>
        </c:ser>
        <c:ser>
          <c:idx val="7"/>
          <c:order val="7"/>
          <c:tx>
            <c:strRef>
              <c:f>[3]月度数据对比!$U$36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[3]月度数据对比!$M$37:$M$48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[3]月度数据对比!$U$37:$U$48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E8BD-4D08-BE58-883B266FD6C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[3]月度数据对比!$N$36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3-E8BD-4D08-BE58-883B266FD6C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E8BD-4D08-BE58-883B266FD6C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5-E8BD-4D08-BE58-883B266FD6C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6-E8BD-4D08-BE58-883B266FD6C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  <a:endParaRPr lang="zh-CN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0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[3]月度数据对比!$M$37:$M$48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Lit>
                    <c:formatCode>General</c:formatCode>
                    <c:ptCount val="12"/>
                    <c:pt idx="0">
                      <c:v>#N/A</c:v>
                    </c:pt>
                    <c:pt idx="1">
                      <c:v>#N/A</c:v>
                    </c:pt>
                    <c:pt idx="2">
                      <c:v>#N/A</c:v>
                    </c:pt>
                    <c:pt idx="3">
                      <c:v>#N/A</c:v>
                    </c:pt>
                    <c:pt idx="4">
                      <c:v>#N/A</c:v>
                    </c:pt>
                    <c:pt idx="5">
                      <c:v>#N/A</c:v>
                    </c:pt>
                    <c:pt idx="6">
                      <c:v>#N/A</c:v>
                    </c:pt>
                    <c:pt idx="7">
                      <c:v>#N/A</c:v>
                    </c:pt>
                    <c:pt idx="8">
                      <c:v>#N/A</c:v>
                    </c:pt>
                    <c:pt idx="9">
                      <c:v>#N/A</c:v>
                    </c:pt>
                    <c:pt idx="10">
                      <c:v>#N/A</c:v>
                    </c:pt>
                    <c:pt idx="11">
                      <c:v>#N/A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7-E8BD-4D08-BE58-883B266FD6C9}"/>
                  </c:ext>
                </c:extLst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endParaRPr lang="zh-CN"/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21" Type="http://schemas.openxmlformats.org/officeDocument/2006/relationships/chart" Target="../charts/chart24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20" Type="http://schemas.openxmlformats.org/officeDocument/2006/relationships/chart" Target="../charts/chart23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24" Type="http://schemas.openxmlformats.org/officeDocument/2006/relationships/chart" Target="../charts/chart27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23" Type="http://schemas.openxmlformats.org/officeDocument/2006/relationships/chart" Target="../charts/chart26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Relationship Id="rId22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549275</xdr:colOff>
      <xdr:row>1</xdr:row>
      <xdr:rowOff>96520</xdr:rowOff>
    </xdr:from>
    <xdr:to>
      <xdr:col>24</xdr:col>
      <xdr:colOff>52705</xdr:colOff>
      <xdr:row>19</xdr:row>
      <xdr:rowOff>32385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71120</xdr:colOff>
      <xdr:row>22</xdr:row>
      <xdr:rowOff>8255</xdr:rowOff>
    </xdr:from>
    <xdr:to>
      <xdr:col>22</xdr:col>
      <xdr:colOff>610870</xdr:colOff>
      <xdr:row>40</xdr:row>
      <xdr:rowOff>243840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505460</xdr:colOff>
      <xdr:row>43</xdr:row>
      <xdr:rowOff>125730</xdr:rowOff>
    </xdr:from>
    <xdr:to>
      <xdr:col>22</xdr:col>
      <xdr:colOff>81915</xdr:colOff>
      <xdr:row>60</xdr:row>
      <xdr:rowOff>261620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67945</xdr:rowOff>
    </xdr:to>
    <xdr:graphicFrame macro="">
      <xdr:nvGraphicFramePr>
        <xdr:cNvPr id="9" name="图表 8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27</xdr:row>
      <xdr:rowOff>71755</xdr:rowOff>
    </xdr:to>
    <xdr:graphicFrame macro="">
      <xdr:nvGraphicFramePr>
        <xdr:cNvPr id="17" name="图表 16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190500</xdr:colOff>
      <xdr:row>51</xdr:row>
      <xdr:rowOff>0</xdr:rowOff>
    </xdr:from>
    <xdr:to>
      <xdr:col>50</xdr:col>
      <xdr:colOff>117475</xdr:colOff>
      <xdr:row>72</xdr:row>
      <xdr:rowOff>103505</xdr:rowOff>
    </xdr:to>
    <xdr:graphicFrame macro="">
      <xdr:nvGraphicFramePr>
        <xdr:cNvPr id="18" name="图表 17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14605</xdr:colOff>
      <xdr:row>47</xdr:row>
      <xdr:rowOff>6985</xdr:rowOff>
    </xdr:from>
    <xdr:to>
      <xdr:col>64</xdr:col>
      <xdr:colOff>439420</xdr:colOff>
      <xdr:row>64</xdr:row>
      <xdr:rowOff>97790</xdr:rowOff>
    </xdr:to>
    <xdr:graphicFrame macro="">
      <xdr:nvGraphicFramePr>
        <xdr:cNvPr id="19" name="图表 18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299720</xdr:colOff>
      <xdr:row>77</xdr:row>
      <xdr:rowOff>173990</xdr:rowOff>
    </xdr:from>
    <xdr:to>
      <xdr:col>16</xdr:col>
      <xdr:colOff>447040</xdr:colOff>
      <xdr:row>104</xdr:row>
      <xdr:rowOff>54610</xdr:rowOff>
    </xdr:to>
    <xdr:graphicFrame macro="">
      <xdr:nvGraphicFramePr>
        <xdr:cNvPr id="20" name="图表 19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111125</xdr:colOff>
      <xdr:row>55</xdr:row>
      <xdr:rowOff>36195</xdr:rowOff>
    </xdr:from>
    <xdr:to>
      <xdr:col>61</xdr:col>
      <xdr:colOff>220345</xdr:colOff>
      <xdr:row>86</xdr:row>
      <xdr:rowOff>86360</xdr:rowOff>
    </xdr:to>
    <xdr:graphicFrame macro="">
      <xdr:nvGraphicFramePr>
        <xdr:cNvPr id="2" name="图表 1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209550</xdr:rowOff>
    </xdr:to>
    <xdr:graphicFrame macro="">
      <xdr:nvGraphicFramePr>
        <xdr:cNvPr id="3" name="图表 2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28</xdr:row>
      <xdr:rowOff>71755</xdr:rowOff>
    </xdr:to>
    <xdr:graphicFrame macro="">
      <xdr:nvGraphicFramePr>
        <xdr:cNvPr id="4" name="图表 3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190500</xdr:colOff>
      <xdr:row>52</xdr:row>
      <xdr:rowOff>195580</xdr:rowOff>
    </xdr:from>
    <xdr:to>
      <xdr:col>50</xdr:col>
      <xdr:colOff>117475</xdr:colOff>
      <xdr:row>74</xdr:row>
      <xdr:rowOff>103505</xdr:rowOff>
    </xdr:to>
    <xdr:graphicFrame macro="">
      <xdr:nvGraphicFramePr>
        <xdr:cNvPr id="5" name="图表 4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52</xdr:col>
      <xdr:colOff>14605</xdr:colOff>
      <xdr:row>48</xdr:row>
      <xdr:rowOff>6985</xdr:rowOff>
    </xdr:from>
    <xdr:to>
      <xdr:col>64</xdr:col>
      <xdr:colOff>439420</xdr:colOff>
      <xdr:row>66</xdr:row>
      <xdr:rowOff>97790</xdr:rowOff>
    </xdr:to>
    <xdr:graphicFrame macro="">
      <xdr:nvGraphicFramePr>
        <xdr:cNvPr id="6" name="图表 5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205740</xdr:colOff>
      <xdr:row>82</xdr:row>
      <xdr:rowOff>138430</xdr:rowOff>
    </xdr:from>
    <xdr:to>
      <xdr:col>14</xdr:col>
      <xdr:colOff>767715</xdr:colOff>
      <xdr:row>108</xdr:row>
      <xdr:rowOff>165100</xdr:rowOff>
    </xdr:to>
    <xdr:graphicFrame macro="">
      <xdr:nvGraphicFramePr>
        <xdr:cNvPr id="7" name="图表 6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111125</xdr:colOff>
      <xdr:row>57</xdr:row>
      <xdr:rowOff>36195</xdr:rowOff>
    </xdr:from>
    <xdr:to>
      <xdr:col>61</xdr:col>
      <xdr:colOff>220345</xdr:colOff>
      <xdr:row>88</xdr:row>
      <xdr:rowOff>86360</xdr:rowOff>
    </xdr:to>
    <xdr:graphicFrame macro="">
      <xdr:nvGraphicFramePr>
        <xdr:cNvPr id="8" name="图表 7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67945</xdr:rowOff>
    </xdr:to>
    <xdr:graphicFrame macro="">
      <xdr:nvGraphicFramePr>
        <xdr:cNvPr id="10" name="图表 9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27</xdr:row>
      <xdr:rowOff>71755</xdr:rowOff>
    </xdr:to>
    <xdr:graphicFrame macro="">
      <xdr:nvGraphicFramePr>
        <xdr:cNvPr id="11" name="图表 10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190500</xdr:colOff>
      <xdr:row>51</xdr:row>
      <xdr:rowOff>0</xdr:rowOff>
    </xdr:from>
    <xdr:to>
      <xdr:col>52</xdr:col>
      <xdr:colOff>117475</xdr:colOff>
      <xdr:row>72</xdr:row>
      <xdr:rowOff>103505</xdr:rowOff>
    </xdr:to>
    <xdr:graphicFrame macro="">
      <xdr:nvGraphicFramePr>
        <xdr:cNvPr id="12" name="图表 11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54</xdr:col>
      <xdr:colOff>14605</xdr:colOff>
      <xdr:row>47</xdr:row>
      <xdr:rowOff>6985</xdr:rowOff>
    </xdr:from>
    <xdr:to>
      <xdr:col>66</xdr:col>
      <xdr:colOff>439420</xdr:colOff>
      <xdr:row>64</xdr:row>
      <xdr:rowOff>97790</xdr:rowOff>
    </xdr:to>
    <xdr:graphicFrame macro="">
      <xdr:nvGraphicFramePr>
        <xdr:cNvPr id="13" name="图表 12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312420</xdr:colOff>
      <xdr:row>70</xdr:row>
      <xdr:rowOff>20955</xdr:rowOff>
    </xdr:from>
    <xdr:to>
      <xdr:col>15</xdr:col>
      <xdr:colOff>650875</xdr:colOff>
      <xdr:row>96</xdr:row>
      <xdr:rowOff>79375</xdr:rowOff>
    </xdr:to>
    <xdr:graphicFrame macro="">
      <xdr:nvGraphicFramePr>
        <xdr:cNvPr id="14" name="图表 13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111125</xdr:colOff>
      <xdr:row>55</xdr:row>
      <xdr:rowOff>36195</xdr:rowOff>
    </xdr:from>
    <xdr:to>
      <xdr:col>63</xdr:col>
      <xdr:colOff>220345</xdr:colOff>
      <xdr:row>86</xdr:row>
      <xdr:rowOff>86360</xdr:rowOff>
    </xdr:to>
    <xdr:graphicFrame macro="">
      <xdr:nvGraphicFramePr>
        <xdr:cNvPr id="15" name="图表 14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209550</xdr:rowOff>
    </xdr:to>
    <xdr:graphicFrame macro="">
      <xdr:nvGraphicFramePr>
        <xdr:cNvPr id="16" name="图表 15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28</xdr:row>
      <xdr:rowOff>71755</xdr:rowOff>
    </xdr:to>
    <xdr:graphicFrame macro="">
      <xdr:nvGraphicFramePr>
        <xdr:cNvPr id="21" name="图表 20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39</xdr:col>
      <xdr:colOff>190500</xdr:colOff>
      <xdr:row>52</xdr:row>
      <xdr:rowOff>195580</xdr:rowOff>
    </xdr:from>
    <xdr:to>
      <xdr:col>52</xdr:col>
      <xdr:colOff>117475</xdr:colOff>
      <xdr:row>74</xdr:row>
      <xdr:rowOff>103505</xdr:rowOff>
    </xdr:to>
    <xdr:graphicFrame macro="">
      <xdr:nvGraphicFramePr>
        <xdr:cNvPr id="22" name="图表 21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54</xdr:col>
      <xdr:colOff>14605</xdr:colOff>
      <xdr:row>48</xdr:row>
      <xdr:rowOff>6985</xdr:rowOff>
    </xdr:from>
    <xdr:to>
      <xdr:col>66</xdr:col>
      <xdr:colOff>439420</xdr:colOff>
      <xdr:row>66</xdr:row>
      <xdr:rowOff>97790</xdr:rowOff>
    </xdr:to>
    <xdr:graphicFrame macro="">
      <xdr:nvGraphicFramePr>
        <xdr:cNvPr id="23" name="图表 22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194945</xdr:colOff>
      <xdr:row>83</xdr:row>
      <xdr:rowOff>102870</xdr:rowOff>
    </xdr:from>
    <xdr:to>
      <xdr:col>14</xdr:col>
      <xdr:colOff>621030</xdr:colOff>
      <xdr:row>109</xdr:row>
      <xdr:rowOff>129540</xdr:rowOff>
    </xdr:to>
    <xdr:graphicFrame macro="">
      <xdr:nvGraphicFramePr>
        <xdr:cNvPr id="24" name="图表 23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45</xdr:col>
      <xdr:colOff>111125</xdr:colOff>
      <xdr:row>57</xdr:row>
      <xdr:rowOff>36195</xdr:rowOff>
    </xdr:from>
    <xdr:to>
      <xdr:col>63</xdr:col>
      <xdr:colOff>220345</xdr:colOff>
      <xdr:row>88</xdr:row>
      <xdr:rowOff>86360</xdr:rowOff>
    </xdr:to>
    <xdr:graphicFrame macro="">
      <xdr:nvGraphicFramePr>
        <xdr:cNvPr id="25" name="图表 24" descr="7b0a202020202263686172745265734964223a202234363130333534220a7d0a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&#26519;&#28165;&#40607;/AppData/Local/Temp/fe2a4d0f-b1f8-4e61-b681-81dd0b0b910e_&#22270;&#20070;&#12298;Excel&#24433;&#21709;&#21147;&#12299;&#36192;&#36865;&#31119;&#21033;&#36164;&#28304;&#21253;.zip.10e/&#22270;&#20070;&#12298;Excel&#24433;&#21709;&#21147;&#12299;&#36192;&#36865;&#31119;&#21033;&#36164;&#28304;&#21253;/&#22270;&#34920;&#27169;&#26495;/36%20&#29992;&#34920;&#26684;&#21576;&#29616;&#25968;&#25454;&#30340;&#24046;&#24322;.xlsx" TargetMode="External"/><Relationship Id="rId1" Type="http://schemas.openxmlformats.org/officeDocument/2006/relationships/externalLinkPath" Target="/Users/&#26519;&#28165;&#40607;/AppData/Local/Temp/fe2a4d0f-b1f8-4e61-b681-81dd0b0b910e_&#22270;&#20070;&#12298;Excel&#24433;&#21709;&#21147;&#12299;&#36192;&#36865;&#31119;&#21033;&#36164;&#28304;&#21253;.zip.10e/&#22270;&#20070;&#12298;Excel&#24433;&#21709;&#21147;&#12299;&#36192;&#36865;&#31119;&#21033;&#36164;&#28304;&#21253;/&#22270;&#34920;&#27169;&#26495;/36%20&#29992;&#34920;&#26684;&#21576;&#29616;&#25968;&#25454;&#30340;&#24046;&#2432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28522/Desktop/&#39567;&#24310;/2026&#24180;2&#26376;28&#26085;&#39567;&#24310;&#38598;&#22242;&#26032;&#23186;&#20307;&#25968;&#25454;&#34920;(&#24635;&#34920;)%20.xlsx" TargetMode="External"/><Relationship Id="rId1" Type="http://schemas.openxmlformats.org/officeDocument/2006/relationships/externalLinkPath" Target="/Users/28522/Desktop/&#39567;&#24310;/2026&#24180;2&#26376;28&#26085;&#39567;&#24310;&#38598;&#22242;&#26032;&#23186;&#20307;&#25968;&#25454;&#34920;(&#24635;&#34920;)%2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1&#26376;30&#26085;&#39567;&#24310;&#38598;&#22242;&#26032;&#23186;&#20307;&#25968;&#25454;&#34920;(&#24635;&#34920;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2&#26376;31&#26085;&#39567;&#24310;&#38598;&#22242;&#26032;&#23186;&#20307;&#25968;&#25454;&#34920;(&#24635;&#34920;)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呈现"/>
      <sheetName val="辅助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目标数据"/>
      <sheetName val="核心指标进度表"/>
      <sheetName val="总表-数据收集"/>
      <sheetName val="数据2"/>
      <sheetName val="周数据对比1"/>
      <sheetName val="周数据对比2"/>
      <sheetName val="2026月度数据对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店名</v>
          </cell>
          <cell r="B2" t="str">
            <v>1月</v>
          </cell>
        </row>
        <row r="3">
          <cell r="A3" t="str">
            <v>花都广本</v>
          </cell>
          <cell r="B3">
            <v>36</v>
          </cell>
          <cell r="C3">
            <v>4</v>
          </cell>
          <cell r="O3" t="str">
            <v>花都广本</v>
          </cell>
          <cell r="P3">
            <v>0.31</v>
          </cell>
          <cell r="Q3">
            <v>0.1</v>
          </cell>
        </row>
        <row r="4">
          <cell r="A4" t="str">
            <v>清远广本</v>
          </cell>
          <cell r="B4">
            <v>11</v>
          </cell>
          <cell r="C4">
            <v>5</v>
          </cell>
          <cell r="O4" t="str">
            <v>清远广本</v>
          </cell>
          <cell r="P4">
            <v>0.21</v>
          </cell>
          <cell r="Q4">
            <v>0.11</v>
          </cell>
        </row>
        <row r="5">
          <cell r="A5" t="str">
            <v>白云零跑</v>
          </cell>
          <cell r="B5">
            <v>6</v>
          </cell>
          <cell r="C5">
            <v>13</v>
          </cell>
          <cell r="O5" t="str">
            <v>白云零跑</v>
          </cell>
          <cell r="P5">
            <v>0.06</v>
          </cell>
          <cell r="Q5">
            <v>0.6</v>
          </cell>
        </row>
        <row r="6">
          <cell r="A6" t="str">
            <v>花都零跑</v>
          </cell>
          <cell r="B6">
            <v>6</v>
          </cell>
          <cell r="C6">
            <v>3</v>
          </cell>
          <cell r="O6" t="str">
            <v>花都零跑</v>
          </cell>
          <cell r="P6">
            <v>0.12</v>
          </cell>
          <cell r="Q6">
            <v>0.23</v>
          </cell>
        </row>
        <row r="7">
          <cell r="A7" t="str">
            <v>河源零跑</v>
          </cell>
          <cell r="B7">
            <v>19</v>
          </cell>
          <cell r="C7">
            <v>5</v>
          </cell>
          <cell r="O7" t="str">
            <v>河源零跑</v>
          </cell>
          <cell r="P7">
            <v>0.1</v>
          </cell>
          <cell r="Q7">
            <v>0.22</v>
          </cell>
        </row>
        <row r="8">
          <cell r="A8" t="str">
            <v>汕头零跑</v>
          </cell>
          <cell r="B8">
            <v>12</v>
          </cell>
          <cell r="C8">
            <v>11</v>
          </cell>
          <cell r="O8" t="str">
            <v>汕头零跑</v>
          </cell>
          <cell r="P8">
            <v>0.17</v>
          </cell>
          <cell r="Q8">
            <v>0.33</v>
          </cell>
        </row>
        <row r="9">
          <cell r="A9" t="str">
            <v>江门大众</v>
          </cell>
          <cell r="B9">
            <v>10</v>
          </cell>
          <cell r="C9">
            <v>3</v>
          </cell>
          <cell r="O9" t="str">
            <v>江门大众</v>
          </cell>
          <cell r="P9">
            <v>0.1</v>
          </cell>
          <cell r="Q9">
            <v>0.25</v>
          </cell>
        </row>
        <row r="10">
          <cell r="A10" t="str">
            <v>鑫海广本</v>
          </cell>
          <cell r="B10">
            <v>15</v>
          </cell>
          <cell r="C10">
            <v>7</v>
          </cell>
          <cell r="O10" t="str">
            <v>鑫海广本</v>
          </cell>
          <cell r="P10">
            <v>0.15</v>
          </cell>
          <cell r="Q10">
            <v>0.15</v>
          </cell>
        </row>
        <row r="11">
          <cell r="A11" t="str">
            <v>花都传祺</v>
          </cell>
          <cell r="B11">
            <v>7</v>
          </cell>
          <cell r="C11">
            <v>3</v>
          </cell>
          <cell r="O11" t="str">
            <v>花都传祺</v>
          </cell>
          <cell r="P11">
            <v>0.12</v>
          </cell>
          <cell r="Q11">
            <v>0.17</v>
          </cell>
        </row>
        <row r="12">
          <cell r="A12" t="str">
            <v>从化零跑</v>
          </cell>
          <cell r="B12">
            <v>4</v>
          </cell>
          <cell r="C12">
            <v>2</v>
          </cell>
          <cell r="O12" t="str">
            <v>从化零跑</v>
          </cell>
          <cell r="P12">
            <v>0.22</v>
          </cell>
          <cell r="Q12">
            <v>0.18</v>
          </cell>
        </row>
        <row r="13">
          <cell r="A13" t="str">
            <v>清远港鸿</v>
          </cell>
          <cell r="B13">
            <v>11</v>
          </cell>
          <cell r="C13">
            <v>4</v>
          </cell>
          <cell r="O13" t="str">
            <v>清远港鸿</v>
          </cell>
          <cell r="P13">
            <v>0.26</v>
          </cell>
          <cell r="Q13">
            <v>0.25</v>
          </cell>
        </row>
        <row r="14">
          <cell r="A14" t="str">
            <v>清远奇晟</v>
          </cell>
          <cell r="B14">
            <v>6</v>
          </cell>
          <cell r="C14">
            <v>3</v>
          </cell>
          <cell r="O14" t="str">
            <v>清远奇晟</v>
          </cell>
          <cell r="P14">
            <v>0.1</v>
          </cell>
        </row>
        <row r="15">
          <cell r="A15" t="str">
            <v>清远英德</v>
          </cell>
          <cell r="B15">
            <v>0</v>
          </cell>
          <cell r="C15">
            <v>0</v>
          </cell>
          <cell r="O15" t="str">
            <v>清远英德</v>
          </cell>
          <cell r="P15">
            <v>0</v>
          </cell>
          <cell r="Q15">
            <v>0</v>
          </cell>
        </row>
        <row r="16">
          <cell r="A16" t="str">
            <v>广花店</v>
          </cell>
          <cell r="B16">
            <v>0</v>
          </cell>
          <cell r="C16">
            <v>2</v>
          </cell>
          <cell r="O16" t="str">
            <v>广花店</v>
          </cell>
          <cell r="P16">
            <v>0</v>
          </cell>
          <cell r="Q16">
            <v>0.25</v>
          </cell>
        </row>
        <row r="17">
          <cell r="A17" t="str">
            <v>北站店</v>
          </cell>
          <cell r="B17">
            <v>1</v>
          </cell>
          <cell r="C17">
            <v>0</v>
          </cell>
          <cell r="O17" t="str">
            <v>北站店</v>
          </cell>
          <cell r="P17">
            <v>0.1</v>
          </cell>
          <cell r="Q17">
            <v>0</v>
          </cell>
        </row>
        <row r="18">
          <cell r="A18" t="str">
            <v>清远极氪</v>
          </cell>
          <cell r="B18">
            <v>1</v>
          </cell>
          <cell r="C18">
            <v>0</v>
          </cell>
          <cell r="O18" t="str">
            <v>清远极氪</v>
          </cell>
          <cell r="P18">
            <v>0</v>
          </cell>
          <cell r="Q18">
            <v>0</v>
          </cell>
        </row>
        <row r="23">
          <cell r="A23" t="str">
            <v>花都广本</v>
          </cell>
          <cell r="B23">
            <v>3099</v>
          </cell>
          <cell r="C23">
            <v>1529</v>
          </cell>
          <cell r="O23" t="str">
            <v>花都广本</v>
          </cell>
          <cell r="P23">
            <v>77</v>
          </cell>
          <cell r="Q23">
            <v>22</v>
          </cell>
        </row>
        <row r="24">
          <cell r="A24" t="str">
            <v>清远广本</v>
          </cell>
          <cell r="B24">
            <v>683</v>
          </cell>
          <cell r="C24">
            <v>765</v>
          </cell>
          <cell r="O24" t="str">
            <v>清远广本</v>
          </cell>
          <cell r="P24">
            <v>41</v>
          </cell>
          <cell r="Q24">
            <v>29</v>
          </cell>
        </row>
        <row r="25">
          <cell r="A25" t="str">
            <v>白云零跑</v>
          </cell>
          <cell r="B25">
            <v>1160</v>
          </cell>
          <cell r="C25">
            <v>681</v>
          </cell>
          <cell r="O25" t="str">
            <v>白云零跑</v>
          </cell>
          <cell r="P25">
            <v>27</v>
          </cell>
          <cell r="Q25">
            <v>21</v>
          </cell>
        </row>
        <row r="26">
          <cell r="A26" t="str">
            <v>花都零跑</v>
          </cell>
          <cell r="B26">
            <v>869</v>
          </cell>
          <cell r="C26">
            <v>495</v>
          </cell>
          <cell r="O26" t="str">
            <v>花都零跑</v>
          </cell>
          <cell r="P26">
            <v>25</v>
          </cell>
          <cell r="Q26">
            <v>13</v>
          </cell>
        </row>
        <row r="27">
          <cell r="A27" t="str">
            <v>河源零跑</v>
          </cell>
          <cell r="B27">
            <v>467</v>
          </cell>
          <cell r="C27">
            <v>671</v>
          </cell>
          <cell r="O27" t="str">
            <v>河源零跑</v>
          </cell>
          <cell r="P27">
            <v>99</v>
          </cell>
          <cell r="Q27">
            <v>67</v>
          </cell>
        </row>
        <row r="28">
          <cell r="A28" t="str">
            <v>汕头零跑</v>
          </cell>
          <cell r="B28">
            <v>593</v>
          </cell>
          <cell r="C28">
            <v>461</v>
          </cell>
          <cell r="O28" t="str">
            <v>汕头零跑</v>
          </cell>
          <cell r="P28">
            <v>54</v>
          </cell>
          <cell r="Q28">
            <v>47</v>
          </cell>
        </row>
        <row r="29">
          <cell r="A29" t="str">
            <v>江门大众</v>
          </cell>
          <cell r="B29">
            <v>343</v>
          </cell>
          <cell r="C29">
            <v>351</v>
          </cell>
          <cell r="O29" t="str">
            <v>江门大众</v>
          </cell>
          <cell r="P29">
            <v>17</v>
          </cell>
          <cell r="Q29">
            <v>9</v>
          </cell>
        </row>
        <row r="30">
          <cell r="A30" t="str">
            <v>鑫海广本</v>
          </cell>
          <cell r="B30">
            <v>502</v>
          </cell>
          <cell r="C30">
            <v>181</v>
          </cell>
          <cell r="O30" t="str">
            <v>鑫海广本</v>
          </cell>
          <cell r="P30">
            <v>76</v>
          </cell>
          <cell r="Q30">
            <v>27</v>
          </cell>
        </row>
        <row r="31">
          <cell r="A31" t="str">
            <v>花都传祺</v>
          </cell>
          <cell r="B31">
            <v>579</v>
          </cell>
          <cell r="C31">
            <v>302</v>
          </cell>
          <cell r="O31" t="str">
            <v>花都传祺</v>
          </cell>
          <cell r="P31">
            <v>22</v>
          </cell>
          <cell r="Q31">
            <v>8</v>
          </cell>
        </row>
        <row r="32">
          <cell r="A32" t="str">
            <v>从化零跑</v>
          </cell>
          <cell r="B32">
            <v>539</v>
          </cell>
          <cell r="C32">
            <v>525</v>
          </cell>
          <cell r="O32" t="str">
            <v>从化零跑</v>
          </cell>
          <cell r="P32">
            <v>1</v>
          </cell>
          <cell r="Q32">
            <v>4</v>
          </cell>
        </row>
        <row r="33">
          <cell r="A33" t="str">
            <v>清远港鸿</v>
          </cell>
          <cell r="B33">
            <v>319</v>
          </cell>
          <cell r="C33">
            <v>282</v>
          </cell>
          <cell r="O33" t="str">
            <v>清远港鸿</v>
          </cell>
          <cell r="P33">
            <v>54</v>
          </cell>
          <cell r="Q33">
            <v>11</v>
          </cell>
        </row>
        <row r="34">
          <cell r="A34" t="str">
            <v>清远奇晟</v>
          </cell>
          <cell r="B34">
            <v>260</v>
          </cell>
          <cell r="C34">
            <v>212</v>
          </cell>
          <cell r="O34" t="str">
            <v>清远奇晟</v>
          </cell>
          <cell r="P34">
            <v>22</v>
          </cell>
          <cell r="Q34">
            <v>6</v>
          </cell>
        </row>
        <row r="35">
          <cell r="A35" t="str">
            <v>清远英德</v>
          </cell>
          <cell r="B35">
            <v>19</v>
          </cell>
          <cell r="C35">
            <v>2</v>
          </cell>
          <cell r="O35" t="str">
            <v>清远英德</v>
          </cell>
          <cell r="P35">
            <v>7</v>
          </cell>
          <cell r="Q35">
            <v>1</v>
          </cell>
        </row>
        <row r="36">
          <cell r="A36" t="str">
            <v>广花店</v>
          </cell>
          <cell r="B36">
            <v>550</v>
          </cell>
          <cell r="C36">
            <v>285</v>
          </cell>
          <cell r="O36" t="str">
            <v>广花店</v>
          </cell>
          <cell r="P36">
            <v>0</v>
          </cell>
          <cell r="Q36">
            <v>3</v>
          </cell>
        </row>
        <row r="37">
          <cell r="A37" t="str">
            <v>北站店</v>
          </cell>
          <cell r="B37">
            <v>188</v>
          </cell>
          <cell r="C37">
            <v>84</v>
          </cell>
          <cell r="O37" t="str">
            <v>北站店</v>
          </cell>
          <cell r="P37">
            <v>2</v>
          </cell>
          <cell r="Q37">
            <v>6</v>
          </cell>
        </row>
        <row r="38">
          <cell r="A38" t="str">
            <v>清远极氪</v>
          </cell>
          <cell r="B38">
            <v>68</v>
          </cell>
          <cell r="C38">
            <v>369</v>
          </cell>
          <cell r="O38" t="str">
            <v>清远极氪</v>
          </cell>
          <cell r="P38">
            <v>10</v>
          </cell>
          <cell r="Q38">
            <v>16</v>
          </cell>
        </row>
        <row r="44">
          <cell r="A44" t="str">
            <v>花都广本</v>
          </cell>
          <cell r="B44">
            <v>2708</v>
          </cell>
          <cell r="C44">
            <v>1842</v>
          </cell>
        </row>
        <row r="45">
          <cell r="A45" t="str">
            <v>清远广本</v>
          </cell>
          <cell r="B45">
            <v>0</v>
          </cell>
          <cell r="C45">
            <v>0</v>
          </cell>
        </row>
        <row r="46">
          <cell r="A46" t="str">
            <v>白云零跑</v>
          </cell>
          <cell r="B46">
            <v>1021</v>
          </cell>
          <cell r="C46">
            <v>608</v>
          </cell>
        </row>
        <row r="47">
          <cell r="A47" t="str">
            <v>花都零跑</v>
          </cell>
          <cell r="B47">
            <v>838</v>
          </cell>
          <cell r="C47">
            <v>451</v>
          </cell>
        </row>
        <row r="48">
          <cell r="A48" t="str">
            <v>河源零跑</v>
          </cell>
          <cell r="B48">
            <v>406</v>
          </cell>
          <cell r="C48">
            <v>634</v>
          </cell>
        </row>
        <row r="49">
          <cell r="A49" t="str">
            <v>汕头零跑</v>
          </cell>
          <cell r="B49">
            <v>537</v>
          </cell>
          <cell r="C49">
            <v>337</v>
          </cell>
        </row>
        <row r="50">
          <cell r="A50" t="str">
            <v>江门大众</v>
          </cell>
          <cell r="B50">
            <v>178</v>
          </cell>
          <cell r="C50">
            <v>1348</v>
          </cell>
        </row>
        <row r="51">
          <cell r="A51" t="str">
            <v>鑫海广本</v>
          </cell>
          <cell r="B51">
            <v>416</v>
          </cell>
          <cell r="C51">
            <v>136</v>
          </cell>
        </row>
        <row r="52">
          <cell r="A52" t="str">
            <v>花都传祺</v>
          </cell>
          <cell r="B52">
            <v>490</v>
          </cell>
          <cell r="C52">
            <v>101</v>
          </cell>
        </row>
        <row r="53">
          <cell r="A53" t="str">
            <v>从化零跑</v>
          </cell>
          <cell r="B53">
            <v>511</v>
          </cell>
          <cell r="C53">
            <v>505</v>
          </cell>
        </row>
        <row r="54">
          <cell r="A54" t="str">
            <v>清远港鸿</v>
          </cell>
          <cell r="B54">
            <v>269</v>
          </cell>
          <cell r="C54">
            <v>247</v>
          </cell>
        </row>
        <row r="55">
          <cell r="A55" t="str">
            <v>清远奇晟</v>
          </cell>
          <cell r="B55">
            <v>233</v>
          </cell>
          <cell r="C55">
            <v>186</v>
          </cell>
        </row>
        <row r="56">
          <cell r="A56" t="str">
            <v>清远英德</v>
          </cell>
          <cell r="B56">
            <v>0</v>
          </cell>
          <cell r="C56">
            <v>0</v>
          </cell>
        </row>
        <row r="57">
          <cell r="A57" t="str">
            <v>广花店</v>
          </cell>
          <cell r="B57">
            <v>530</v>
          </cell>
          <cell r="C57">
            <v>251</v>
          </cell>
        </row>
        <row r="58">
          <cell r="A58" t="str">
            <v>北站店</v>
          </cell>
          <cell r="B58">
            <v>166</v>
          </cell>
          <cell r="C58">
            <v>23</v>
          </cell>
        </row>
        <row r="59">
          <cell r="A59" t="str">
            <v>清远极氪</v>
          </cell>
          <cell r="B59">
            <v>29</v>
          </cell>
          <cell r="C59">
            <v>353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2">
          <cell r="B2" t="str">
            <v>2月</v>
          </cell>
          <cell r="C2" t="str">
            <v>3月</v>
          </cell>
          <cell r="D2" t="str">
            <v>4月</v>
          </cell>
          <cell r="E2" t="str">
            <v>5月</v>
          </cell>
          <cell r="F2" t="str">
            <v>6月</v>
          </cell>
          <cell r="G2" t="str">
            <v>7月</v>
          </cell>
          <cell r="H2" t="str">
            <v>8月</v>
          </cell>
          <cell r="I2" t="str">
            <v>9月</v>
          </cell>
          <cell r="N2" t="str">
            <v>2月</v>
          </cell>
          <cell r="O2" t="str">
            <v>3月</v>
          </cell>
          <cell r="P2" t="str">
            <v>4月</v>
          </cell>
          <cell r="Q2" t="str">
            <v>5月</v>
          </cell>
          <cell r="R2" t="str">
            <v>6月</v>
          </cell>
          <cell r="S2" t="str">
            <v>7月</v>
          </cell>
          <cell r="T2" t="str">
            <v>8月</v>
          </cell>
          <cell r="U2" t="str">
            <v>9月</v>
          </cell>
        </row>
        <row r="3">
          <cell r="A3" t="str">
            <v>花都广本</v>
          </cell>
          <cell r="B3">
            <v>52</v>
          </cell>
          <cell r="C3">
            <v>24</v>
          </cell>
          <cell r="D3">
            <v>55</v>
          </cell>
          <cell r="E3">
            <v>37</v>
          </cell>
          <cell r="F3">
            <v>43</v>
          </cell>
          <cell r="G3">
            <v>28</v>
          </cell>
          <cell r="H3">
            <v>30</v>
          </cell>
          <cell r="I3">
            <v>42</v>
          </cell>
          <cell r="M3" t="str">
            <v>花都广本</v>
          </cell>
          <cell r="N3">
            <v>0.25</v>
          </cell>
          <cell r="O3">
            <v>0.20499999999999999</v>
          </cell>
          <cell r="P3">
            <v>0.21</v>
          </cell>
          <cell r="Q3">
            <v>0.26</v>
          </cell>
          <cell r="R3">
            <v>0.28999999999999998</v>
          </cell>
          <cell r="S3">
            <v>0.25</v>
          </cell>
          <cell r="T3">
            <v>0.24</v>
          </cell>
          <cell r="U3">
            <v>0.34</v>
          </cell>
        </row>
        <row r="4">
          <cell r="A4" t="str">
            <v>清远广本</v>
          </cell>
          <cell r="B4">
            <v>20</v>
          </cell>
          <cell r="C4">
            <v>9</v>
          </cell>
          <cell r="D4">
            <v>18</v>
          </cell>
          <cell r="E4">
            <v>20</v>
          </cell>
          <cell r="F4">
            <v>20</v>
          </cell>
          <cell r="G4">
            <v>13</v>
          </cell>
          <cell r="H4">
            <v>19</v>
          </cell>
          <cell r="I4">
            <v>16</v>
          </cell>
          <cell r="M4" t="str">
            <v>清远广本</v>
          </cell>
          <cell r="N4">
            <v>0.16200000000000001</v>
          </cell>
          <cell r="O4">
            <v>0.128</v>
          </cell>
          <cell r="P4">
            <v>0.25</v>
          </cell>
          <cell r="Q4">
            <v>0.16900000000000001</v>
          </cell>
          <cell r="R4">
            <v>0.16800000000000001</v>
          </cell>
          <cell r="S4">
            <v>0.2</v>
          </cell>
          <cell r="T4">
            <v>0.19400000000000001</v>
          </cell>
          <cell r="U4">
            <v>0.16800000000000001</v>
          </cell>
        </row>
        <row r="5">
          <cell r="A5" t="str">
            <v>白云零跑</v>
          </cell>
          <cell r="B5">
            <v>4</v>
          </cell>
          <cell r="C5">
            <v>3</v>
          </cell>
          <cell r="D5">
            <v>11</v>
          </cell>
          <cell r="E5">
            <v>16</v>
          </cell>
          <cell r="F5">
            <v>9</v>
          </cell>
          <cell r="G5">
            <v>12</v>
          </cell>
          <cell r="H5">
            <v>20</v>
          </cell>
          <cell r="I5">
            <v>24</v>
          </cell>
          <cell r="M5" t="str">
            <v>白云零跑</v>
          </cell>
          <cell r="N5">
            <v>7.0000000000000007E-2</v>
          </cell>
          <cell r="P5">
            <v>0.2</v>
          </cell>
          <cell r="Q5">
            <v>0.33300000000000002</v>
          </cell>
          <cell r="R5">
            <v>0.05</v>
          </cell>
          <cell r="S5">
            <v>0.15</v>
          </cell>
          <cell r="T5">
            <v>0.17100000000000001</v>
          </cell>
          <cell r="U5">
            <v>0.29199999999999998</v>
          </cell>
        </row>
        <row r="6">
          <cell r="A6" t="str">
            <v>花都零跑</v>
          </cell>
          <cell r="B6">
            <v>17</v>
          </cell>
          <cell r="C6">
            <v>13</v>
          </cell>
          <cell r="D6">
            <v>9</v>
          </cell>
          <cell r="E6">
            <v>12</v>
          </cell>
          <cell r="F6">
            <v>11</v>
          </cell>
          <cell r="G6">
            <v>9</v>
          </cell>
          <cell r="H6">
            <v>14</v>
          </cell>
          <cell r="I6">
            <v>8</v>
          </cell>
          <cell r="M6" t="str">
            <v>花都零跑</v>
          </cell>
          <cell r="N6">
            <v>0.153</v>
          </cell>
          <cell r="O6">
            <v>0.13500000000000001</v>
          </cell>
          <cell r="P6">
            <v>0.14299999999999999</v>
          </cell>
          <cell r="Q6">
            <v>0.28599999999999998</v>
          </cell>
          <cell r="R6">
            <v>0.08</v>
          </cell>
          <cell r="S6">
            <v>0.1</v>
          </cell>
          <cell r="T6">
            <v>8.9999999999999993E-3</v>
          </cell>
          <cell r="U6">
            <v>0.11</v>
          </cell>
        </row>
        <row r="7">
          <cell r="A7" t="str">
            <v>番禺零跑</v>
          </cell>
          <cell r="B7">
            <v>0</v>
          </cell>
          <cell r="C7">
            <v>0</v>
          </cell>
          <cell r="D7">
            <v>6</v>
          </cell>
          <cell r="E7">
            <v>11</v>
          </cell>
          <cell r="F7">
            <v>9</v>
          </cell>
          <cell r="G7">
            <v>6</v>
          </cell>
          <cell r="H7">
            <v>3</v>
          </cell>
          <cell r="I7">
            <v>1</v>
          </cell>
          <cell r="M7" t="str">
            <v>番禺零跑</v>
          </cell>
          <cell r="N7">
            <v>0</v>
          </cell>
          <cell r="P7">
            <v>0.18</v>
          </cell>
          <cell r="Q7">
            <v>0.33300000000000002</v>
          </cell>
          <cell r="R7">
            <v>0.23</v>
          </cell>
          <cell r="S7">
            <v>0.2</v>
          </cell>
          <cell r="T7">
            <v>0</v>
          </cell>
          <cell r="U7">
            <v>0</v>
          </cell>
        </row>
        <row r="8">
          <cell r="A8" t="str">
            <v>河源零跑</v>
          </cell>
          <cell r="B8">
            <v>11</v>
          </cell>
          <cell r="C8">
            <v>5</v>
          </cell>
          <cell r="D8">
            <v>9</v>
          </cell>
          <cell r="E8">
            <v>14</v>
          </cell>
          <cell r="F8">
            <v>10</v>
          </cell>
          <cell r="G8">
            <v>22</v>
          </cell>
          <cell r="H8">
            <v>12</v>
          </cell>
          <cell r="I8">
            <v>15</v>
          </cell>
          <cell r="M8" t="str">
            <v>河源零跑</v>
          </cell>
          <cell r="N8">
            <v>0.13300000000000001</v>
          </cell>
          <cell r="O8">
            <v>3.3000000000000002E-2</v>
          </cell>
          <cell r="P8">
            <v>0.17499999999999999</v>
          </cell>
          <cell r="Q8">
            <v>0.154</v>
          </cell>
          <cell r="R8">
            <v>0.09</v>
          </cell>
          <cell r="S8">
            <v>0.24</v>
          </cell>
          <cell r="U8">
            <v>0.21</v>
          </cell>
        </row>
        <row r="9">
          <cell r="A9" t="str">
            <v>汕头零跑</v>
          </cell>
          <cell r="B9">
            <v>13</v>
          </cell>
          <cell r="C9">
            <v>13</v>
          </cell>
          <cell r="D9">
            <v>9</v>
          </cell>
          <cell r="E9">
            <v>16</v>
          </cell>
          <cell r="F9">
            <v>19</v>
          </cell>
          <cell r="G9">
            <v>21</v>
          </cell>
          <cell r="H9">
            <v>23</v>
          </cell>
          <cell r="I9">
            <v>28</v>
          </cell>
          <cell r="M9" t="str">
            <v>汕头零跑</v>
          </cell>
          <cell r="N9">
            <v>0.2</v>
          </cell>
          <cell r="O9">
            <v>0.23</v>
          </cell>
          <cell r="P9">
            <v>0.1</v>
          </cell>
          <cell r="Q9">
            <v>0.185</v>
          </cell>
          <cell r="R9">
            <v>0.2</v>
          </cell>
          <cell r="S9">
            <v>0.2</v>
          </cell>
          <cell r="T9">
            <v>0.185</v>
          </cell>
          <cell r="U9">
            <v>0.22</v>
          </cell>
        </row>
        <row r="10">
          <cell r="A10" t="str">
            <v>清远零跑</v>
          </cell>
          <cell r="B10">
            <v>8</v>
          </cell>
          <cell r="C10">
            <v>6</v>
          </cell>
          <cell r="D10">
            <v>5</v>
          </cell>
          <cell r="E10">
            <v>8</v>
          </cell>
          <cell r="F10">
            <v>9</v>
          </cell>
          <cell r="G10">
            <v>14</v>
          </cell>
          <cell r="H10">
            <v>12</v>
          </cell>
          <cell r="I10">
            <v>10</v>
          </cell>
          <cell r="M10" t="str">
            <v>清远零跑</v>
          </cell>
          <cell r="N10">
            <v>7.0000000000000007E-2</v>
          </cell>
          <cell r="O10">
            <v>0.15</v>
          </cell>
          <cell r="P10">
            <v>0.09</v>
          </cell>
          <cell r="Q10">
            <v>6.9000000000000006E-2</v>
          </cell>
          <cell r="R10">
            <v>7.1999999999999995E-2</v>
          </cell>
          <cell r="S10">
            <v>0.1</v>
          </cell>
          <cell r="T10">
            <v>0.1</v>
          </cell>
          <cell r="U10">
            <v>0.1</v>
          </cell>
        </row>
        <row r="11">
          <cell r="A11" t="str">
            <v>湛江零跑</v>
          </cell>
          <cell r="B11">
            <v>10</v>
          </cell>
          <cell r="C11">
            <v>3</v>
          </cell>
          <cell r="D11">
            <v>3</v>
          </cell>
          <cell r="E11">
            <v>4</v>
          </cell>
          <cell r="F11">
            <v>5</v>
          </cell>
          <cell r="G11">
            <v>5</v>
          </cell>
          <cell r="H11">
            <v>7</v>
          </cell>
          <cell r="I11">
            <v>6</v>
          </cell>
          <cell r="M11" t="str">
            <v>湛江零跑</v>
          </cell>
          <cell r="N11">
            <v>0.26</v>
          </cell>
          <cell r="O11">
            <v>0.1</v>
          </cell>
          <cell r="P11">
            <v>0.11700000000000001</v>
          </cell>
          <cell r="Q11">
            <v>0.13800000000000001</v>
          </cell>
          <cell r="R11">
            <v>8.4000000000000005E-2</v>
          </cell>
          <cell r="S11">
            <v>0.15</v>
          </cell>
          <cell r="T11">
            <v>0.1</v>
          </cell>
          <cell r="U11">
            <v>0.1</v>
          </cell>
        </row>
        <row r="12">
          <cell r="A12" t="str">
            <v>江门大众</v>
          </cell>
          <cell r="B12">
            <v>6</v>
          </cell>
          <cell r="C12">
            <v>10</v>
          </cell>
          <cell r="D12">
            <v>5</v>
          </cell>
          <cell r="E12">
            <v>4</v>
          </cell>
          <cell r="F12">
            <v>15</v>
          </cell>
          <cell r="G12">
            <v>8</v>
          </cell>
          <cell r="H12">
            <v>8</v>
          </cell>
          <cell r="I12">
            <v>15</v>
          </cell>
          <cell r="M12" t="str">
            <v>江门大众</v>
          </cell>
          <cell r="N12">
            <v>0</v>
          </cell>
          <cell r="O12">
            <v>0.1</v>
          </cell>
          <cell r="P12">
            <v>0.05</v>
          </cell>
          <cell r="Q12">
            <v>0.06</v>
          </cell>
          <cell r="R12">
            <v>0.06</v>
          </cell>
          <cell r="S12">
            <v>0.1</v>
          </cell>
          <cell r="T12">
            <v>2E-3</v>
          </cell>
          <cell r="U12">
            <v>0.08</v>
          </cell>
        </row>
        <row r="13">
          <cell r="A13" t="str">
            <v>鑫海广本</v>
          </cell>
          <cell r="D13">
            <v>12</v>
          </cell>
          <cell r="E13">
            <v>13</v>
          </cell>
          <cell r="F13">
            <v>20</v>
          </cell>
          <cell r="G13">
            <v>9</v>
          </cell>
          <cell r="H13">
            <v>16</v>
          </cell>
          <cell r="I13">
            <v>10</v>
          </cell>
          <cell r="M13" t="str">
            <v>鑫海广本</v>
          </cell>
          <cell r="P13">
            <v>0.2</v>
          </cell>
          <cell r="Q13">
            <v>0.2</v>
          </cell>
          <cell r="R13">
            <v>0.2</v>
          </cell>
          <cell r="S13">
            <v>0.15</v>
          </cell>
          <cell r="T13">
            <v>0.15</v>
          </cell>
          <cell r="U13">
            <v>0.15</v>
          </cell>
        </row>
        <row r="14">
          <cell r="A14" t="str">
            <v>花都传祺</v>
          </cell>
          <cell r="F14">
            <v>1</v>
          </cell>
          <cell r="G14">
            <v>4</v>
          </cell>
          <cell r="H14">
            <v>6</v>
          </cell>
          <cell r="I14">
            <v>5</v>
          </cell>
          <cell r="M14" t="str">
            <v>花都传祺</v>
          </cell>
          <cell r="R14">
            <v>0</v>
          </cell>
          <cell r="S14">
            <v>0.2</v>
          </cell>
          <cell r="T14">
            <v>0.15</v>
          </cell>
          <cell r="U14">
            <v>0.16</v>
          </cell>
        </row>
        <row r="20">
          <cell r="B20" t="str">
            <v>2月</v>
          </cell>
          <cell r="C20" t="str">
            <v>3月</v>
          </cell>
          <cell r="D20" t="str">
            <v>4月</v>
          </cell>
          <cell r="E20" t="str">
            <v>5月</v>
          </cell>
          <cell r="F20" t="str">
            <v>6月</v>
          </cell>
          <cell r="G20" t="str">
            <v>7月</v>
          </cell>
          <cell r="H20" t="str">
            <v>8月</v>
          </cell>
          <cell r="I20" t="str">
            <v>9月</v>
          </cell>
          <cell r="N20" t="str">
            <v>2月</v>
          </cell>
          <cell r="O20" t="str">
            <v>3月</v>
          </cell>
          <cell r="P20" t="str">
            <v>4月</v>
          </cell>
          <cell r="Q20" t="str">
            <v>5月</v>
          </cell>
          <cell r="R20" t="str">
            <v>6月</v>
          </cell>
          <cell r="S20" t="str">
            <v>7月</v>
          </cell>
          <cell r="T20" t="str">
            <v>8月</v>
          </cell>
          <cell r="U20" t="str">
            <v>9月</v>
          </cell>
        </row>
        <row r="21">
          <cell r="A21" t="str">
            <v>花都广本</v>
          </cell>
          <cell r="B21">
            <v>2549</v>
          </cell>
          <cell r="C21">
            <v>1396</v>
          </cell>
          <cell r="D21">
            <v>1992</v>
          </cell>
          <cell r="E21">
            <v>775</v>
          </cell>
          <cell r="F21">
            <v>1429</v>
          </cell>
          <cell r="G21">
            <v>1561</v>
          </cell>
          <cell r="H21">
            <v>1537</v>
          </cell>
          <cell r="I21">
            <v>2391</v>
          </cell>
          <cell r="M21" t="str">
            <v>花都广本</v>
          </cell>
          <cell r="N21">
            <v>136</v>
          </cell>
          <cell r="O21">
            <v>77</v>
          </cell>
          <cell r="P21">
            <v>113</v>
          </cell>
          <cell r="Q21">
            <v>63</v>
          </cell>
          <cell r="R21">
            <v>86</v>
          </cell>
          <cell r="S21">
            <v>65</v>
          </cell>
          <cell r="T21">
            <v>69</v>
          </cell>
          <cell r="U21">
            <v>76</v>
          </cell>
        </row>
        <row r="22">
          <cell r="A22" t="str">
            <v>清远广本</v>
          </cell>
          <cell r="B22">
            <v>1260</v>
          </cell>
          <cell r="C22">
            <v>635</v>
          </cell>
          <cell r="D22">
            <v>754</v>
          </cell>
          <cell r="E22">
            <v>680</v>
          </cell>
          <cell r="F22">
            <v>744</v>
          </cell>
          <cell r="G22">
            <v>930</v>
          </cell>
          <cell r="H22">
            <v>1040</v>
          </cell>
          <cell r="I22">
            <v>1090</v>
          </cell>
          <cell r="M22" t="str">
            <v>清远广本</v>
          </cell>
          <cell r="N22">
            <v>77</v>
          </cell>
          <cell r="O22">
            <v>34</v>
          </cell>
          <cell r="P22">
            <v>45</v>
          </cell>
          <cell r="Q22">
            <v>65</v>
          </cell>
          <cell r="R22">
            <v>65</v>
          </cell>
          <cell r="S22">
            <v>67</v>
          </cell>
          <cell r="T22">
            <v>79</v>
          </cell>
          <cell r="U22">
            <v>47</v>
          </cell>
        </row>
        <row r="23">
          <cell r="A23" t="str">
            <v>白云零跑</v>
          </cell>
          <cell r="B23">
            <v>369</v>
          </cell>
          <cell r="C23">
            <v>190</v>
          </cell>
          <cell r="D23">
            <v>608</v>
          </cell>
          <cell r="E23">
            <v>548</v>
          </cell>
          <cell r="F23">
            <v>590</v>
          </cell>
          <cell r="G23">
            <v>565</v>
          </cell>
          <cell r="H23">
            <v>654</v>
          </cell>
          <cell r="I23">
            <v>1034</v>
          </cell>
          <cell r="M23" t="str">
            <v>白云零跑</v>
          </cell>
          <cell r="N23">
            <v>18</v>
          </cell>
          <cell r="O23">
            <v>7</v>
          </cell>
          <cell r="P23">
            <v>42</v>
          </cell>
          <cell r="Q23">
            <v>56</v>
          </cell>
          <cell r="R23">
            <v>44</v>
          </cell>
          <cell r="S23">
            <v>34</v>
          </cell>
          <cell r="T23">
            <v>60</v>
          </cell>
          <cell r="U23">
            <v>46</v>
          </cell>
        </row>
        <row r="24">
          <cell r="A24" t="str">
            <v>花都零跑</v>
          </cell>
          <cell r="B24">
            <v>782</v>
          </cell>
          <cell r="C24">
            <v>632</v>
          </cell>
          <cell r="D24">
            <v>635</v>
          </cell>
          <cell r="E24">
            <v>570</v>
          </cell>
          <cell r="F24">
            <v>816</v>
          </cell>
          <cell r="G24">
            <v>641</v>
          </cell>
          <cell r="H24">
            <v>830</v>
          </cell>
          <cell r="I24">
            <v>697</v>
          </cell>
          <cell r="M24" t="str">
            <v>花都零跑</v>
          </cell>
          <cell r="N24">
            <v>32</v>
          </cell>
          <cell r="O24">
            <v>30</v>
          </cell>
          <cell r="P24">
            <v>29</v>
          </cell>
          <cell r="Q24">
            <v>17</v>
          </cell>
          <cell r="R24">
            <v>32</v>
          </cell>
          <cell r="S24">
            <v>24</v>
          </cell>
          <cell r="T24">
            <v>51</v>
          </cell>
          <cell r="U24">
            <v>20</v>
          </cell>
        </row>
        <row r="25">
          <cell r="A25" t="str">
            <v>番禺零跑</v>
          </cell>
          <cell r="B25">
            <v>15</v>
          </cell>
          <cell r="C25">
            <v>32</v>
          </cell>
          <cell r="D25">
            <v>429</v>
          </cell>
          <cell r="E25">
            <v>147</v>
          </cell>
          <cell r="F25">
            <v>369</v>
          </cell>
          <cell r="G25">
            <v>536</v>
          </cell>
          <cell r="H25">
            <v>462</v>
          </cell>
          <cell r="I25">
            <v>212</v>
          </cell>
          <cell r="M25" t="str">
            <v>番禺零跑</v>
          </cell>
          <cell r="N25">
            <v>3</v>
          </cell>
          <cell r="O25">
            <v>11</v>
          </cell>
          <cell r="P25">
            <v>29</v>
          </cell>
          <cell r="Q25">
            <v>24</v>
          </cell>
          <cell r="R25">
            <v>20</v>
          </cell>
          <cell r="S25">
            <v>13</v>
          </cell>
          <cell r="T25">
            <v>4</v>
          </cell>
          <cell r="U25">
            <v>1</v>
          </cell>
        </row>
        <row r="26">
          <cell r="A26" t="str">
            <v>河源零跑</v>
          </cell>
          <cell r="B26">
            <v>853</v>
          </cell>
          <cell r="C26">
            <v>605</v>
          </cell>
          <cell r="D26">
            <v>520</v>
          </cell>
          <cell r="E26">
            <v>432</v>
          </cell>
          <cell r="F26">
            <v>401</v>
          </cell>
          <cell r="G26">
            <v>514</v>
          </cell>
          <cell r="H26">
            <v>525</v>
          </cell>
          <cell r="I26">
            <v>453</v>
          </cell>
          <cell r="M26" t="str">
            <v>河源零跑</v>
          </cell>
          <cell r="N26">
            <v>45</v>
          </cell>
          <cell r="O26">
            <v>45</v>
          </cell>
          <cell r="P26">
            <v>51</v>
          </cell>
          <cell r="Q26">
            <v>61</v>
          </cell>
          <cell r="R26">
            <v>40</v>
          </cell>
          <cell r="S26">
            <v>89</v>
          </cell>
          <cell r="T26">
            <v>89</v>
          </cell>
          <cell r="U26">
            <v>111</v>
          </cell>
        </row>
        <row r="27">
          <cell r="A27" t="str">
            <v>汕头零跑</v>
          </cell>
          <cell r="B27">
            <v>396</v>
          </cell>
          <cell r="C27">
            <v>527</v>
          </cell>
          <cell r="D27">
            <v>615</v>
          </cell>
          <cell r="E27">
            <v>721</v>
          </cell>
          <cell r="F27">
            <v>655</v>
          </cell>
          <cell r="G27">
            <v>653</v>
          </cell>
          <cell r="H27">
            <v>870</v>
          </cell>
          <cell r="I27">
            <v>756</v>
          </cell>
          <cell r="M27" t="str">
            <v>汕头零跑</v>
          </cell>
          <cell r="N27">
            <v>25</v>
          </cell>
          <cell r="O27">
            <v>32</v>
          </cell>
          <cell r="P27">
            <v>70</v>
          </cell>
          <cell r="Q27">
            <v>68</v>
          </cell>
          <cell r="R27">
            <v>86</v>
          </cell>
          <cell r="S27">
            <v>107</v>
          </cell>
          <cell r="T27">
            <v>108</v>
          </cell>
          <cell r="U27">
            <v>73</v>
          </cell>
        </row>
        <row r="28">
          <cell r="A28" t="str">
            <v>清远零跑</v>
          </cell>
          <cell r="B28">
            <v>364</v>
          </cell>
          <cell r="C28">
            <v>198</v>
          </cell>
          <cell r="D28">
            <v>247</v>
          </cell>
          <cell r="E28">
            <v>305</v>
          </cell>
          <cell r="F28">
            <v>425</v>
          </cell>
          <cell r="G28">
            <v>499</v>
          </cell>
          <cell r="H28">
            <v>682</v>
          </cell>
          <cell r="I28">
            <v>648</v>
          </cell>
          <cell r="M28" t="str">
            <v>清远零跑</v>
          </cell>
          <cell r="N28">
            <v>17</v>
          </cell>
          <cell r="O28">
            <v>14</v>
          </cell>
          <cell r="P28">
            <v>16</v>
          </cell>
          <cell r="Q28">
            <v>25</v>
          </cell>
          <cell r="R28">
            <v>28</v>
          </cell>
          <cell r="S28">
            <v>37</v>
          </cell>
          <cell r="T28">
            <v>19</v>
          </cell>
          <cell r="U28">
            <v>26</v>
          </cell>
        </row>
        <row r="29">
          <cell r="A29" t="str">
            <v>湛江零跑</v>
          </cell>
          <cell r="B29">
            <v>417</v>
          </cell>
          <cell r="C29">
            <v>268</v>
          </cell>
          <cell r="D29">
            <v>333</v>
          </cell>
          <cell r="E29">
            <v>419</v>
          </cell>
          <cell r="F29">
            <v>246</v>
          </cell>
          <cell r="G29">
            <v>250</v>
          </cell>
          <cell r="H29">
            <v>387</v>
          </cell>
          <cell r="I29">
            <v>355</v>
          </cell>
          <cell r="M29" t="str">
            <v>湛江零跑</v>
          </cell>
          <cell r="N29">
            <v>20</v>
          </cell>
          <cell r="O29">
            <v>15</v>
          </cell>
          <cell r="P29">
            <v>24</v>
          </cell>
          <cell r="Q29">
            <v>47</v>
          </cell>
          <cell r="R29">
            <v>27</v>
          </cell>
          <cell r="S29">
            <v>26</v>
          </cell>
          <cell r="T29">
            <v>33</v>
          </cell>
          <cell r="U29">
            <v>22</v>
          </cell>
        </row>
        <row r="30">
          <cell r="A30" t="str">
            <v>江门大众</v>
          </cell>
          <cell r="B30">
            <v>1123</v>
          </cell>
          <cell r="C30">
            <v>451</v>
          </cell>
          <cell r="D30">
            <v>170</v>
          </cell>
          <cell r="E30">
            <v>104</v>
          </cell>
          <cell r="F30">
            <v>161</v>
          </cell>
          <cell r="G30">
            <v>162</v>
          </cell>
          <cell r="H30">
            <v>166</v>
          </cell>
          <cell r="I30">
            <v>177</v>
          </cell>
          <cell r="M30" t="str">
            <v>江门大众</v>
          </cell>
          <cell r="N30">
            <v>23</v>
          </cell>
          <cell r="O30">
            <v>21</v>
          </cell>
          <cell r="P30">
            <v>10</v>
          </cell>
          <cell r="Q30">
            <v>11</v>
          </cell>
          <cell r="R30">
            <v>34</v>
          </cell>
          <cell r="S30">
            <v>24</v>
          </cell>
          <cell r="T30">
            <v>20</v>
          </cell>
          <cell r="U30">
            <v>31</v>
          </cell>
        </row>
        <row r="31">
          <cell r="A31" t="str">
            <v>鑫海广本</v>
          </cell>
          <cell r="D31">
            <v>655</v>
          </cell>
          <cell r="E31">
            <v>500</v>
          </cell>
          <cell r="F31">
            <v>533</v>
          </cell>
          <cell r="G31">
            <v>338</v>
          </cell>
          <cell r="H31">
            <v>523</v>
          </cell>
          <cell r="I31">
            <v>311</v>
          </cell>
          <cell r="M31" t="str">
            <v>鑫海广本</v>
          </cell>
          <cell r="P31">
            <v>62</v>
          </cell>
          <cell r="Q31">
            <v>73</v>
          </cell>
          <cell r="R31">
            <v>80</v>
          </cell>
          <cell r="S31">
            <v>43</v>
          </cell>
          <cell r="T31">
            <v>74</v>
          </cell>
          <cell r="U31">
            <v>50</v>
          </cell>
        </row>
        <row r="32">
          <cell r="A32" t="str">
            <v>花都传祺</v>
          </cell>
          <cell r="F32">
            <v>610</v>
          </cell>
          <cell r="G32">
            <v>1197</v>
          </cell>
          <cell r="H32">
            <v>1437</v>
          </cell>
          <cell r="I32">
            <v>767</v>
          </cell>
          <cell r="M32" t="str">
            <v>花都传祺</v>
          </cell>
          <cell r="R32">
            <v>17</v>
          </cell>
          <cell r="S32">
            <v>39</v>
          </cell>
          <cell r="T32">
            <v>34</v>
          </cell>
          <cell r="U32">
            <v>34</v>
          </cell>
        </row>
        <row r="36">
          <cell r="B36" t="str">
            <v>2月</v>
          </cell>
          <cell r="C36" t="str">
            <v>3月</v>
          </cell>
          <cell r="D36" t="str">
            <v>4月</v>
          </cell>
          <cell r="E36" t="str">
            <v>5月</v>
          </cell>
          <cell r="F36" t="str">
            <v>6月</v>
          </cell>
          <cell r="G36" t="str">
            <v>7月</v>
          </cell>
          <cell r="H36" t="str">
            <v>8月</v>
          </cell>
          <cell r="I36" t="str">
            <v>9月</v>
          </cell>
          <cell r="N36" t="str">
            <v>2月</v>
          </cell>
          <cell r="O36" t="str">
            <v>3月</v>
          </cell>
          <cell r="P36" t="str">
            <v>4月</v>
          </cell>
          <cell r="Q36" t="str">
            <v>5月</v>
          </cell>
          <cell r="R36" t="str">
            <v>6月</v>
          </cell>
          <cell r="S36" t="str">
            <v>7月</v>
          </cell>
          <cell r="T36" t="str">
            <v>8月</v>
          </cell>
          <cell r="U36" t="str">
            <v>9月</v>
          </cell>
        </row>
        <row r="37">
          <cell r="A37" t="str">
            <v>花都广本</v>
          </cell>
          <cell r="B37">
            <v>1750</v>
          </cell>
          <cell r="C37">
            <v>1011</v>
          </cell>
          <cell r="D37">
            <v>1368</v>
          </cell>
          <cell r="E37">
            <v>621</v>
          </cell>
          <cell r="F37">
            <v>1172</v>
          </cell>
          <cell r="G37">
            <v>1311</v>
          </cell>
          <cell r="H37">
            <v>1149</v>
          </cell>
          <cell r="I37">
            <v>2171</v>
          </cell>
          <cell r="M37" t="str">
            <v>花都广本</v>
          </cell>
        </row>
        <row r="38">
          <cell r="A38" t="str">
            <v>清远广本</v>
          </cell>
          <cell r="B38">
            <v>400</v>
          </cell>
          <cell r="C38">
            <v>297</v>
          </cell>
          <cell r="D38">
            <v>355</v>
          </cell>
          <cell r="E38">
            <v>344</v>
          </cell>
          <cell r="F38">
            <v>299</v>
          </cell>
          <cell r="G38">
            <v>566</v>
          </cell>
          <cell r="H38">
            <v>692</v>
          </cell>
          <cell r="I38">
            <v>1066</v>
          </cell>
          <cell r="M38" t="str">
            <v>清远广本</v>
          </cell>
        </row>
        <row r="39">
          <cell r="A39" t="str">
            <v>白云零跑</v>
          </cell>
          <cell r="B39">
            <v>174</v>
          </cell>
          <cell r="C39">
            <v>154</v>
          </cell>
          <cell r="D39">
            <v>423</v>
          </cell>
          <cell r="E39">
            <v>433</v>
          </cell>
          <cell r="F39">
            <v>552</v>
          </cell>
          <cell r="G39">
            <v>453</v>
          </cell>
          <cell r="H39">
            <v>499</v>
          </cell>
          <cell r="I39">
            <v>955</v>
          </cell>
          <cell r="M39" t="str">
            <v>白云零跑</v>
          </cell>
        </row>
        <row r="40">
          <cell r="A40" t="str">
            <v>花都零跑</v>
          </cell>
          <cell r="B40">
            <v>514</v>
          </cell>
          <cell r="C40">
            <v>542</v>
          </cell>
          <cell r="D40">
            <v>405</v>
          </cell>
          <cell r="E40">
            <v>393</v>
          </cell>
          <cell r="F40">
            <v>615</v>
          </cell>
          <cell r="G40">
            <v>459</v>
          </cell>
          <cell r="H40">
            <v>690</v>
          </cell>
          <cell r="I40">
            <v>625</v>
          </cell>
          <cell r="M40" t="str">
            <v>花都零跑</v>
          </cell>
        </row>
        <row r="41">
          <cell r="A41" t="str">
            <v>番禺零跑</v>
          </cell>
          <cell r="B41">
            <v>0</v>
          </cell>
          <cell r="C41">
            <v>23</v>
          </cell>
          <cell r="D41">
            <v>314</v>
          </cell>
          <cell r="E41">
            <v>117</v>
          </cell>
          <cell r="F41">
            <v>263</v>
          </cell>
          <cell r="G41">
            <v>379</v>
          </cell>
          <cell r="H41">
            <v>398</v>
          </cell>
          <cell r="I41">
            <v>206</v>
          </cell>
          <cell r="M41" t="str">
            <v>番禺零跑</v>
          </cell>
        </row>
        <row r="42">
          <cell r="A42" t="str">
            <v>河源零跑</v>
          </cell>
          <cell r="B42">
            <v>622</v>
          </cell>
          <cell r="C42">
            <v>461</v>
          </cell>
          <cell r="D42">
            <v>432</v>
          </cell>
          <cell r="E42">
            <v>339</v>
          </cell>
          <cell r="F42">
            <v>305</v>
          </cell>
          <cell r="G42">
            <v>399</v>
          </cell>
          <cell r="H42">
            <v>409</v>
          </cell>
          <cell r="I42">
            <v>334</v>
          </cell>
          <cell r="M42" t="str">
            <v>河源零跑</v>
          </cell>
        </row>
        <row r="43">
          <cell r="A43" t="str">
            <v>汕头零跑</v>
          </cell>
          <cell r="B43">
            <v>71</v>
          </cell>
          <cell r="C43">
            <v>253</v>
          </cell>
          <cell r="D43">
            <v>370</v>
          </cell>
          <cell r="E43">
            <v>428</v>
          </cell>
          <cell r="F43">
            <v>460</v>
          </cell>
          <cell r="G43">
            <v>501</v>
          </cell>
          <cell r="H43">
            <v>709</v>
          </cell>
          <cell r="I43">
            <v>607</v>
          </cell>
          <cell r="M43" t="str">
            <v>汕头零跑</v>
          </cell>
        </row>
        <row r="44">
          <cell r="A44" t="str">
            <v>清远零跑</v>
          </cell>
          <cell r="B44">
            <v>18</v>
          </cell>
          <cell r="C44">
            <v>66</v>
          </cell>
          <cell r="D44">
            <v>159</v>
          </cell>
          <cell r="E44">
            <v>192</v>
          </cell>
          <cell r="F44">
            <v>232</v>
          </cell>
          <cell r="G44">
            <v>296</v>
          </cell>
          <cell r="H44">
            <v>374</v>
          </cell>
          <cell r="I44">
            <v>418</v>
          </cell>
          <cell r="M44" t="str">
            <v>清远零跑</v>
          </cell>
        </row>
        <row r="45">
          <cell r="A45" t="str">
            <v>湛江零跑</v>
          </cell>
          <cell r="B45">
            <v>20</v>
          </cell>
          <cell r="C45">
            <v>3</v>
          </cell>
          <cell r="D45">
            <v>107</v>
          </cell>
          <cell r="E45">
            <v>206</v>
          </cell>
          <cell r="F45">
            <v>206</v>
          </cell>
          <cell r="G45">
            <v>161</v>
          </cell>
          <cell r="H45">
            <v>145</v>
          </cell>
          <cell r="I45">
            <v>145</v>
          </cell>
          <cell r="M45" t="str">
            <v>湛江零跑</v>
          </cell>
        </row>
        <row r="46">
          <cell r="A46" t="str">
            <v>江门大众</v>
          </cell>
          <cell r="B46">
            <v>235</v>
          </cell>
          <cell r="C46">
            <v>151</v>
          </cell>
          <cell r="D46">
            <v>77</v>
          </cell>
          <cell r="E46">
            <v>35</v>
          </cell>
          <cell r="F46">
            <v>99</v>
          </cell>
          <cell r="G46">
            <v>120</v>
          </cell>
          <cell r="H46">
            <v>111</v>
          </cell>
          <cell r="I46">
            <v>125</v>
          </cell>
          <cell r="M46" t="str">
            <v>江门大众</v>
          </cell>
        </row>
        <row r="47">
          <cell r="A47" t="str">
            <v>鑫海广本</v>
          </cell>
          <cell r="D47">
            <v>431</v>
          </cell>
          <cell r="E47">
            <v>399</v>
          </cell>
          <cell r="F47">
            <v>460</v>
          </cell>
          <cell r="G47">
            <v>285</v>
          </cell>
          <cell r="H47">
            <v>433</v>
          </cell>
          <cell r="I47">
            <v>256</v>
          </cell>
          <cell r="M47" t="str">
            <v>鑫海广本</v>
          </cell>
        </row>
        <row r="48">
          <cell r="A48" t="str">
            <v>花都传祺</v>
          </cell>
          <cell r="F48">
            <v>211</v>
          </cell>
          <cell r="G48">
            <v>594</v>
          </cell>
          <cell r="H48">
            <v>721</v>
          </cell>
          <cell r="I48">
            <v>495</v>
          </cell>
          <cell r="M48" t="str">
            <v>花都传祺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1">
          <cell r="B1" t="str">
            <v>每月订单对比</v>
          </cell>
        </row>
        <row r="2">
          <cell r="B2" t="str">
            <v>店名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O2" t="str">
            <v>店名</v>
          </cell>
          <cell r="P2" t="str">
            <v>2月</v>
          </cell>
          <cell r="Q2" t="str">
            <v>3月</v>
          </cell>
          <cell r="R2" t="str">
            <v>4月</v>
          </cell>
          <cell r="S2" t="str">
            <v>5月</v>
          </cell>
          <cell r="T2" t="str">
            <v>6月</v>
          </cell>
          <cell r="U2" t="str">
            <v>7月</v>
          </cell>
          <cell r="V2" t="str">
            <v>8月</v>
          </cell>
        </row>
        <row r="3">
          <cell r="B3" t="str">
            <v>花都广本</v>
          </cell>
          <cell r="C3">
            <v>52</v>
          </cell>
          <cell r="D3">
            <v>24</v>
          </cell>
          <cell r="E3">
            <v>55</v>
          </cell>
          <cell r="F3">
            <v>37</v>
          </cell>
          <cell r="G3">
            <v>43</v>
          </cell>
          <cell r="H3">
            <v>28</v>
          </cell>
          <cell r="I3">
            <v>30</v>
          </cell>
          <cell r="O3" t="str">
            <v>花都广本</v>
          </cell>
          <cell r="P3">
            <v>0.25</v>
          </cell>
          <cell r="Q3">
            <v>0.20499999999999999</v>
          </cell>
          <cell r="R3">
            <v>0.21</v>
          </cell>
          <cell r="S3">
            <v>0.26</v>
          </cell>
          <cell r="T3">
            <v>0.28999999999999998</v>
          </cell>
          <cell r="U3">
            <v>0.25</v>
          </cell>
          <cell r="V3">
            <v>0.24</v>
          </cell>
        </row>
        <row r="4">
          <cell r="B4" t="str">
            <v>清远广本</v>
          </cell>
          <cell r="C4">
            <v>20</v>
          </cell>
          <cell r="D4">
            <v>9</v>
          </cell>
          <cell r="E4">
            <v>18</v>
          </cell>
          <cell r="F4">
            <v>20</v>
          </cell>
          <cell r="G4">
            <v>20</v>
          </cell>
          <cell r="H4">
            <v>13</v>
          </cell>
          <cell r="I4">
            <v>19</v>
          </cell>
          <cell r="O4" t="str">
            <v>清远广本</v>
          </cell>
          <cell r="P4">
            <v>0.16200000000000001</v>
          </cell>
          <cell r="Q4">
            <v>0.128</v>
          </cell>
          <cell r="R4">
            <v>0.25</v>
          </cell>
          <cell r="S4">
            <v>0.16900000000000001</v>
          </cell>
          <cell r="T4">
            <v>0.16800000000000001</v>
          </cell>
          <cell r="U4">
            <v>0.2</v>
          </cell>
          <cell r="V4">
            <v>0.19400000000000001</v>
          </cell>
        </row>
        <row r="5">
          <cell r="B5" t="str">
            <v>白云零跑</v>
          </cell>
          <cell r="C5">
            <v>4</v>
          </cell>
          <cell r="D5">
            <v>3</v>
          </cell>
          <cell r="E5">
            <v>11</v>
          </cell>
          <cell r="F5">
            <v>16</v>
          </cell>
          <cell r="G5">
            <v>9</v>
          </cell>
          <cell r="H5">
            <v>12</v>
          </cell>
          <cell r="I5">
            <v>20</v>
          </cell>
          <cell r="O5" t="str">
            <v>白云零跑</v>
          </cell>
          <cell r="P5">
            <v>7.0000000000000007E-2</v>
          </cell>
          <cell r="R5">
            <v>0.2</v>
          </cell>
          <cell r="S5">
            <v>0.33300000000000002</v>
          </cell>
          <cell r="T5">
            <v>0.05</v>
          </cell>
          <cell r="U5">
            <v>0.15</v>
          </cell>
          <cell r="V5">
            <v>0.17100000000000001</v>
          </cell>
        </row>
        <row r="6">
          <cell r="B6" t="str">
            <v>花都零跑</v>
          </cell>
          <cell r="C6">
            <v>17</v>
          </cell>
          <cell r="D6">
            <v>13</v>
          </cell>
          <cell r="E6">
            <v>9</v>
          </cell>
          <cell r="F6">
            <v>12</v>
          </cell>
          <cell r="G6">
            <v>11</v>
          </cell>
          <cell r="H6">
            <v>9</v>
          </cell>
          <cell r="I6">
            <v>14</v>
          </cell>
          <cell r="O6" t="str">
            <v>花都零跑</v>
          </cell>
          <cell r="P6">
            <v>0.153</v>
          </cell>
          <cell r="Q6">
            <v>0.13500000000000001</v>
          </cell>
          <cell r="R6">
            <v>0.14299999999999999</v>
          </cell>
          <cell r="S6">
            <v>0.28599999999999998</v>
          </cell>
          <cell r="T6">
            <v>0.08</v>
          </cell>
          <cell r="U6">
            <v>0.1</v>
          </cell>
          <cell r="V6">
            <v>8.9999999999999993E-3</v>
          </cell>
        </row>
        <row r="7">
          <cell r="B7" t="str">
            <v>番禺零跑</v>
          </cell>
          <cell r="C7">
            <v>0</v>
          </cell>
          <cell r="D7">
            <v>0</v>
          </cell>
          <cell r="E7">
            <v>6</v>
          </cell>
          <cell r="F7">
            <v>11</v>
          </cell>
          <cell r="G7">
            <v>9</v>
          </cell>
          <cell r="H7">
            <v>6</v>
          </cell>
          <cell r="I7">
            <v>3</v>
          </cell>
          <cell r="O7" t="str">
            <v>番禺零跑</v>
          </cell>
          <cell r="P7">
            <v>0</v>
          </cell>
          <cell r="R7">
            <v>0.18</v>
          </cell>
          <cell r="S7">
            <v>0.33300000000000002</v>
          </cell>
          <cell r="T7">
            <v>0.23</v>
          </cell>
          <cell r="U7">
            <v>0.2</v>
          </cell>
          <cell r="V7">
            <v>0</v>
          </cell>
        </row>
        <row r="8">
          <cell r="B8" t="str">
            <v>河源零跑</v>
          </cell>
          <cell r="C8">
            <v>11</v>
          </cell>
          <cell r="D8">
            <v>5</v>
          </cell>
          <cell r="E8">
            <v>9</v>
          </cell>
          <cell r="F8">
            <v>14</v>
          </cell>
          <cell r="G8">
            <v>10</v>
          </cell>
          <cell r="H8">
            <v>22</v>
          </cell>
          <cell r="I8">
            <v>12</v>
          </cell>
          <cell r="O8" t="str">
            <v>河源零跑</v>
          </cell>
          <cell r="P8">
            <v>0.13300000000000001</v>
          </cell>
          <cell r="Q8">
            <v>3.3000000000000002E-2</v>
          </cell>
          <cell r="R8">
            <v>0.17499999999999999</v>
          </cell>
          <cell r="S8">
            <v>0.154</v>
          </cell>
          <cell r="T8">
            <v>0.09</v>
          </cell>
          <cell r="U8">
            <v>0.24</v>
          </cell>
          <cell r="V8">
            <v>0.15</v>
          </cell>
        </row>
        <row r="9">
          <cell r="B9" t="str">
            <v>汕头零跑</v>
          </cell>
          <cell r="C9">
            <v>13</v>
          </cell>
          <cell r="D9">
            <v>13</v>
          </cell>
          <cell r="E9">
            <v>9</v>
          </cell>
          <cell r="F9">
            <v>16</v>
          </cell>
          <cell r="G9">
            <v>19</v>
          </cell>
          <cell r="H9">
            <v>21</v>
          </cell>
          <cell r="I9">
            <v>23</v>
          </cell>
          <cell r="O9" t="str">
            <v>汕头零跑</v>
          </cell>
          <cell r="P9">
            <v>0.2</v>
          </cell>
          <cell r="Q9">
            <v>0.23</v>
          </cell>
          <cell r="R9">
            <v>0.1</v>
          </cell>
          <cell r="S9">
            <v>0.185</v>
          </cell>
          <cell r="T9">
            <v>0.2</v>
          </cell>
          <cell r="U9">
            <v>0.2</v>
          </cell>
          <cell r="V9">
            <v>0.185</v>
          </cell>
        </row>
        <row r="10">
          <cell r="B10" t="str">
            <v>清远零跑</v>
          </cell>
          <cell r="C10">
            <v>8</v>
          </cell>
          <cell r="D10">
            <v>6</v>
          </cell>
          <cell r="E10">
            <v>5</v>
          </cell>
          <cell r="F10">
            <v>8</v>
          </cell>
          <cell r="G10">
            <v>9</v>
          </cell>
          <cell r="H10">
            <v>14</v>
          </cell>
          <cell r="I10">
            <v>12</v>
          </cell>
          <cell r="O10" t="str">
            <v>清远零跑</v>
          </cell>
          <cell r="P10">
            <v>7.0000000000000007E-2</v>
          </cell>
          <cell r="Q10">
            <v>0.15</v>
          </cell>
          <cell r="R10">
            <v>0.09</v>
          </cell>
          <cell r="S10">
            <v>6.9000000000000006E-2</v>
          </cell>
          <cell r="T10">
            <v>7.1999999999999995E-2</v>
          </cell>
          <cell r="U10">
            <v>0.1</v>
          </cell>
          <cell r="V10">
            <v>0.1</v>
          </cell>
        </row>
        <row r="11">
          <cell r="B11" t="str">
            <v>湛江零跑</v>
          </cell>
          <cell r="C11">
            <v>10</v>
          </cell>
          <cell r="D11">
            <v>3</v>
          </cell>
          <cell r="E11">
            <v>3</v>
          </cell>
          <cell r="F11">
            <v>4</v>
          </cell>
          <cell r="G11">
            <v>5</v>
          </cell>
          <cell r="H11">
            <v>5</v>
          </cell>
          <cell r="I11">
            <v>7</v>
          </cell>
          <cell r="O11" t="str">
            <v>湛江零跑</v>
          </cell>
          <cell r="P11">
            <v>0.26</v>
          </cell>
          <cell r="Q11">
            <v>0.1</v>
          </cell>
          <cell r="R11">
            <v>0.11700000000000001</v>
          </cell>
          <cell r="S11">
            <v>0.13800000000000001</v>
          </cell>
          <cell r="T11">
            <v>8.4000000000000005E-2</v>
          </cell>
          <cell r="U11">
            <v>0.15</v>
          </cell>
          <cell r="V11">
            <v>0.1</v>
          </cell>
        </row>
        <row r="12">
          <cell r="B12" t="str">
            <v>江门大众</v>
          </cell>
          <cell r="C12">
            <v>6</v>
          </cell>
          <cell r="D12">
            <v>10</v>
          </cell>
          <cell r="E12">
            <v>5</v>
          </cell>
          <cell r="F12">
            <v>4</v>
          </cell>
          <cell r="G12">
            <v>15</v>
          </cell>
          <cell r="H12">
            <v>8</v>
          </cell>
          <cell r="I12">
            <v>8</v>
          </cell>
          <cell r="O12" t="str">
            <v>江门大众</v>
          </cell>
          <cell r="P12">
            <v>0</v>
          </cell>
          <cell r="Q12">
            <v>0.1</v>
          </cell>
          <cell r="R12">
            <v>0.05</v>
          </cell>
          <cell r="S12">
            <v>0.06</v>
          </cell>
          <cell r="T12">
            <v>0.06</v>
          </cell>
          <cell r="U12">
            <v>0.1</v>
          </cell>
          <cell r="V12">
            <v>2E-3</v>
          </cell>
        </row>
        <row r="13">
          <cell r="B13" t="str">
            <v>鑫海广本</v>
          </cell>
          <cell r="E13">
            <v>12</v>
          </cell>
          <cell r="F13">
            <v>13</v>
          </cell>
          <cell r="G13">
            <v>20</v>
          </cell>
          <cell r="H13">
            <v>9</v>
          </cell>
          <cell r="I13">
            <v>16</v>
          </cell>
          <cell r="O13" t="str">
            <v>鑫海广本</v>
          </cell>
          <cell r="R13">
            <v>0.2</v>
          </cell>
          <cell r="S13">
            <v>0.2</v>
          </cell>
          <cell r="T13">
            <v>0.2</v>
          </cell>
          <cell r="U13">
            <v>0.15</v>
          </cell>
          <cell r="V13">
            <v>0.15</v>
          </cell>
        </row>
        <row r="14">
          <cell r="B14" t="str">
            <v>花都传祺</v>
          </cell>
          <cell r="G14">
            <v>1</v>
          </cell>
          <cell r="H14">
            <v>4</v>
          </cell>
          <cell r="I14">
            <v>6</v>
          </cell>
          <cell r="O14" t="str">
            <v>花都传祺</v>
          </cell>
          <cell r="T14">
            <v>0</v>
          </cell>
          <cell r="U14">
            <v>0.2</v>
          </cell>
          <cell r="V14">
            <v>0.15</v>
          </cell>
        </row>
        <row r="19">
          <cell r="B19" t="str">
            <v>每月总线索</v>
          </cell>
          <cell r="O19" t="str">
            <v>每月总到店数据</v>
          </cell>
        </row>
        <row r="20">
          <cell r="B20" t="str">
            <v>店名</v>
          </cell>
          <cell r="C20" t="str">
            <v>2月</v>
          </cell>
          <cell r="D20" t="str">
            <v>3月</v>
          </cell>
          <cell r="E20" t="str">
            <v>4月</v>
          </cell>
          <cell r="F20" t="str">
            <v>5月</v>
          </cell>
          <cell r="G20" t="str">
            <v>6月</v>
          </cell>
          <cell r="H20" t="str">
            <v>7月</v>
          </cell>
          <cell r="I20" t="str">
            <v>8月</v>
          </cell>
          <cell r="O20" t="str">
            <v>店名</v>
          </cell>
          <cell r="P20" t="str">
            <v>2月</v>
          </cell>
          <cell r="Q20" t="str">
            <v>3月</v>
          </cell>
          <cell r="R20" t="str">
            <v>4月</v>
          </cell>
          <cell r="S20" t="str">
            <v>5月</v>
          </cell>
          <cell r="T20" t="str">
            <v>6月</v>
          </cell>
          <cell r="U20" t="str">
            <v>7月</v>
          </cell>
          <cell r="V20" t="str">
            <v>8月</v>
          </cell>
        </row>
        <row r="21">
          <cell r="B21" t="str">
            <v>花都广本</v>
          </cell>
          <cell r="C21">
            <v>2549</v>
          </cell>
          <cell r="D21">
            <v>1396</v>
          </cell>
          <cell r="E21">
            <v>1992</v>
          </cell>
          <cell r="F21">
            <v>775</v>
          </cell>
          <cell r="G21">
            <v>1429</v>
          </cell>
          <cell r="H21">
            <v>1561</v>
          </cell>
          <cell r="I21">
            <v>1537</v>
          </cell>
          <cell r="O21" t="str">
            <v>花都广本</v>
          </cell>
          <cell r="P21">
            <v>136</v>
          </cell>
          <cell r="Q21">
            <v>77</v>
          </cell>
          <cell r="R21">
            <v>113</v>
          </cell>
          <cell r="S21">
            <v>63</v>
          </cell>
          <cell r="T21">
            <v>86</v>
          </cell>
          <cell r="U21">
            <v>65</v>
          </cell>
          <cell r="V21">
            <v>69</v>
          </cell>
        </row>
        <row r="22">
          <cell r="B22" t="str">
            <v>清远广本</v>
          </cell>
          <cell r="C22">
            <v>1260</v>
          </cell>
          <cell r="D22">
            <v>635</v>
          </cell>
          <cell r="E22">
            <v>754</v>
          </cell>
          <cell r="F22">
            <v>680</v>
          </cell>
          <cell r="G22">
            <v>744</v>
          </cell>
          <cell r="H22">
            <v>930</v>
          </cell>
          <cell r="I22">
            <v>1040</v>
          </cell>
          <cell r="O22" t="str">
            <v>清远广本</v>
          </cell>
          <cell r="P22">
            <v>77</v>
          </cell>
          <cell r="Q22">
            <v>34</v>
          </cell>
          <cell r="R22">
            <v>45</v>
          </cell>
          <cell r="S22">
            <v>65</v>
          </cell>
          <cell r="T22">
            <v>65</v>
          </cell>
          <cell r="U22">
            <v>67</v>
          </cell>
          <cell r="V22">
            <v>79</v>
          </cell>
        </row>
        <row r="23">
          <cell r="B23" t="str">
            <v>白云零跑</v>
          </cell>
          <cell r="C23">
            <v>369</v>
          </cell>
          <cell r="D23">
            <v>190</v>
          </cell>
          <cell r="E23">
            <v>608</v>
          </cell>
          <cell r="F23">
            <v>548</v>
          </cell>
          <cell r="G23">
            <v>590</v>
          </cell>
          <cell r="H23">
            <v>565</v>
          </cell>
          <cell r="I23">
            <v>654</v>
          </cell>
          <cell r="O23" t="str">
            <v>白云零跑</v>
          </cell>
          <cell r="P23">
            <v>18</v>
          </cell>
          <cell r="Q23">
            <v>7</v>
          </cell>
          <cell r="R23">
            <v>42</v>
          </cell>
          <cell r="S23">
            <v>56</v>
          </cell>
          <cell r="T23">
            <v>44</v>
          </cell>
          <cell r="U23">
            <v>34</v>
          </cell>
          <cell r="V23">
            <v>60</v>
          </cell>
        </row>
        <row r="24">
          <cell r="B24" t="str">
            <v>花都零跑</v>
          </cell>
          <cell r="C24">
            <v>782</v>
          </cell>
          <cell r="D24">
            <v>632</v>
          </cell>
          <cell r="E24">
            <v>635</v>
          </cell>
          <cell r="F24">
            <v>570</v>
          </cell>
          <cell r="G24">
            <v>816</v>
          </cell>
          <cell r="H24">
            <v>641</v>
          </cell>
          <cell r="I24">
            <v>830</v>
          </cell>
          <cell r="O24" t="str">
            <v>花都零跑</v>
          </cell>
          <cell r="P24">
            <v>32</v>
          </cell>
          <cell r="Q24">
            <v>30</v>
          </cell>
          <cell r="R24">
            <v>29</v>
          </cell>
          <cell r="S24">
            <v>17</v>
          </cell>
          <cell r="T24">
            <v>32</v>
          </cell>
          <cell r="U24">
            <v>24</v>
          </cell>
          <cell r="V24">
            <v>51</v>
          </cell>
        </row>
        <row r="25">
          <cell r="B25" t="str">
            <v>番禺零跑</v>
          </cell>
          <cell r="C25">
            <v>15</v>
          </cell>
          <cell r="D25">
            <v>32</v>
          </cell>
          <cell r="E25">
            <v>429</v>
          </cell>
          <cell r="F25">
            <v>147</v>
          </cell>
          <cell r="G25">
            <v>369</v>
          </cell>
          <cell r="H25">
            <v>536</v>
          </cell>
          <cell r="I25">
            <v>462</v>
          </cell>
          <cell r="O25" t="str">
            <v>番禺零跑</v>
          </cell>
          <cell r="P25">
            <v>3</v>
          </cell>
          <cell r="Q25">
            <v>11</v>
          </cell>
          <cell r="R25">
            <v>29</v>
          </cell>
          <cell r="S25">
            <v>24</v>
          </cell>
          <cell r="T25">
            <v>20</v>
          </cell>
          <cell r="U25">
            <v>13</v>
          </cell>
          <cell r="V25">
            <v>4</v>
          </cell>
        </row>
        <row r="26">
          <cell r="B26" t="str">
            <v>河源零跑</v>
          </cell>
          <cell r="C26">
            <v>853</v>
          </cell>
          <cell r="D26">
            <v>605</v>
          </cell>
          <cell r="E26">
            <v>520</v>
          </cell>
          <cell r="F26">
            <v>432</v>
          </cell>
          <cell r="G26">
            <v>401</v>
          </cell>
          <cell r="H26">
            <v>514</v>
          </cell>
          <cell r="I26">
            <v>525</v>
          </cell>
          <cell r="O26" t="str">
            <v>河源零跑</v>
          </cell>
          <cell r="P26">
            <v>45</v>
          </cell>
          <cell r="Q26">
            <v>45</v>
          </cell>
          <cell r="R26">
            <v>51</v>
          </cell>
          <cell r="S26">
            <v>61</v>
          </cell>
          <cell r="T26">
            <v>40</v>
          </cell>
          <cell r="U26">
            <v>89</v>
          </cell>
          <cell r="V26">
            <v>89</v>
          </cell>
        </row>
        <row r="27">
          <cell r="B27" t="str">
            <v>汕头零跑</v>
          </cell>
          <cell r="C27">
            <v>396</v>
          </cell>
          <cell r="D27">
            <v>527</v>
          </cell>
          <cell r="E27">
            <v>615</v>
          </cell>
          <cell r="F27">
            <v>721</v>
          </cell>
          <cell r="G27">
            <v>655</v>
          </cell>
          <cell r="H27">
            <v>653</v>
          </cell>
          <cell r="I27">
            <v>870</v>
          </cell>
          <cell r="O27" t="str">
            <v>汕头零跑</v>
          </cell>
          <cell r="P27">
            <v>25</v>
          </cell>
          <cell r="Q27">
            <v>32</v>
          </cell>
          <cell r="R27">
            <v>70</v>
          </cell>
          <cell r="S27">
            <v>68</v>
          </cell>
          <cell r="T27">
            <v>86</v>
          </cell>
          <cell r="U27">
            <v>107</v>
          </cell>
          <cell r="V27">
            <v>108</v>
          </cell>
        </row>
        <row r="28">
          <cell r="B28" t="str">
            <v>清远零跑</v>
          </cell>
          <cell r="C28">
            <v>364</v>
          </cell>
          <cell r="D28">
            <v>198</v>
          </cell>
          <cell r="E28">
            <v>247</v>
          </cell>
          <cell r="F28">
            <v>305</v>
          </cell>
          <cell r="G28">
            <v>425</v>
          </cell>
          <cell r="H28">
            <v>499</v>
          </cell>
          <cell r="I28">
            <v>682</v>
          </cell>
          <cell r="O28" t="str">
            <v>清远零跑</v>
          </cell>
          <cell r="P28">
            <v>17</v>
          </cell>
          <cell r="Q28">
            <v>14</v>
          </cell>
          <cell r="R28">
            <v>16</v>
          </cell>
          <cell r="S28">
            <v>25</v>
          </cell>
          <cell r="T28">
            <v>28</v>
          </cell>
          <cell r="U28">
            <v>37</v>
          </cell>
          <cell r="V28">
            <v>19</v>
          </cell>
        </row>
        <row r="29">
          <cell r="B29" t="str">
            <v>湛江零跑</v>
          </cell>
          <cell r="C29">
            <v>417</v>
          </cell>
          <cell r="D29">
            <v>268</v>
          </cell>
          <cell r="E29">
            <v>333</v>
          </cell>
          <cell r="F29">
            <v>419</v>
          </cell>
          <cell r="G29">
            <v>246</v>
          </cell>
          <cell r="H29">
            <v>250</v>
          </cell>
          <cell r="I29">
            <v>387</v>
          </cell>
          <cell r="O29" t="str">
            <v>湛江零跑</v>
          </cell>
          <cell r="P29">
            <v>20</v>
          </cell>
          <cell r="Q29">
            <v>15</v>
          </cell>
          <cell r="R29">
            <v>24</v>
          </cell>
          <cell r="S29">
            <v>47</v>
          </cell>
          <cell r="T29">
            <v>27</v>
          </cell>
          <cell r="U29">
            <v>26</v>
          </cell>
          <cell r="V29">
            <v>33</v>
          </cell>
        </row>
        <row r="30">
          <cell r="B30" t="str">
            <v>江门大众</v>
          </cell>
          <cell r="C30">
            <v>486</v>
          </cell>
          <cell r="D30">
            <v>451</v>
          </cell>
          <cell r="E30">
            <v>170</v>
          </cell>
          <cell r="F30">
            <v>104</v>
          </cell>
          <cell r="G30">
            <v>161</v>
          </cell>
          <cell r="H30">
            <v>162</v>
          </cell>
          <cell r="I30">
            <v>166</v>
          </cell>
          <cell r="O30" t="str">
            <v>江门大众</v>
          </cell>
          <cell r="P30">
            <v>23</v>
          </cell>
          <cell r="Q30">
            <v>21</v>
          </cell>
          <cell r="R30">
            <v>10</v>
          </cell>
          <cell r="S30">
            <v>11</v>
          </cell>
          <cell r="T30">
            <v>34</v>
          </cell>
          <cell r="U30">
            <v>24</v>
          </cell>
          <cell r="V30">
            <v>20</v>
          </cell>
        </row>
        <row r="31">
          <cell r="B31" t="str">
            <v>鑫海广本</v>
          </cell>
          <cell r="E31">
            <v>655</v>
          </cell>
          <cell r="F31">
            <v>500</v>
          </cell>
          <cell r="G31">
            <v>533</v>
          </cell>
          <cell r="H31">
            <v>338</v>
          </cell>
          <cell r="I31">
            <v>523</v>
          </cell>
          <cell r="O31" t="str">
            <v>鑫海广本</v>
          </cell>
          <cell r="R31">
            <v>62</v>
          </cell>
          <cell r="S31">
            <v>73</v>
          </cell>
          <cell r="T31">
            <v>80</v>
          </cell>
          <cell r="U31">
            <v>43</v>
          </cell>
          <cell r="V31">
            <v>74</v>
          </cell>
        </row>
        <row r="35">
          <cell r="B35" t="str">
            <v>付费流线索数</v>
          </cell>
        </row>
        <row r="36">
          <cell r="B36" t="str">
            <v>店名</v>
          </cell>
          <cell r="C36" t="str">
            <v>2月</v>
          </cell>
          <cell r="D36" t="str">
            <v>3月</v>
          </cell>
          <cell r="E36" t="str">
            <v>4月</v>
          </cell>
          <cell r="F36" t="str">
            <v>5月</v>
          </cell>
          <cell r="G36" t="str">
            <v>6月</v>
          </cell>
          <cell r="H36" t="str">
            <v>7月</v>
          </cell>
          <cell r="I36" t="str">
            <v>8月</v>
          </cell>
        </row>
        <row r="37">
          <cell r="B37" t="str">
            <v>花都广本</v>
          </cell>
          <cell r="C37">
            <v>1750</v>
          </cell>
          <cell r="D37">
            <v>1011</v>
          </cell>
          <cell r="E37">
            <v>1368</v>
          </cell>
          <cell r="F37">
            <v>621</v>
          </cell>
          <cell r="G37">
            <v>1172</v>
          </cell>
          <cell r="H37">
            <v>1311</v>
          </cell>
          <cell r="I37">
            <v>1149</v>
          </cell>
        </row>
        <row r="38">
          <cell r="B38" t="str">
            <v>清远广本</v>
          </cell>
          <cell r="C38">
            <v>400</v>
          </cell>
          <cell r="D38">
            <v>297</v>
          </cell>
          <cell r="E38">
            <v>355</v>
          </cell>
          <cell r="F38">
            <v>344</v>
          </cell>
          <cell r="G38">
            <v>299</v>
          </cell>
          <cell r="H38">
            <v>566</v>
          </cell>
          <cell r="I38">
            <v>692</v>
          </cell>
        </row>
        <row r="39">
          <cell r="B39" t="str">
            <v>白云零跑</v>
          </cell>
          <cell r="C39">
            <v>174</v>
          </cell>
          <cell r="D39">
            <v>154</v>
          </cell>
          <cell r="E39">
            <v>423</v>
          </cell>
          <cell r="F39">
            <v>433</v>
          </cell>
          <cell r="G39">
            <v>552</v>
          </cell>
          <cell r="H39">
            <v>453</v>
          </cell>
          <cell r="I39">
            <v>499</v>
          </cell>
        </row>
        <row r="40">
          <cell r="B40" t="str">
            <v>花都零跑</v>
          </cell>
          <cell r="C40">
            <v>514</v>
          </cell>
          <cell r="D40">
            <v>542</v>
          </cell>
          <cell r="E40">
            <v>405</v>
          </cell>
          <cell r="F40">
            <v>393</v>
          </cell>
          <cell r="G40">
            <v>615</v>
          </cell>
          <cell r="H40">
            <v>459</v>
          </cell>
          <cell r="I40">
            <v>690</v>
          </cell>
        </row>
        <row r="41">
          <cell r="B41" t="str">
            <v>番禺零跑</v>
          </cell>
          <cell r="C41">
            <v>0</v>
          </cell>
          <cell r="D41">
            <v>23</v>
          </cell>
          <cell r="E41">
            <v>314</v>
          </cell>
          <cell r="F41">
            <v>117</v>
          </cell>
          <cell r="G41">
            <v>263</v>
          </cell>
          <cell r="H41">
            <v>379</v>
          </cell>
          <cell r="I41">
            <v>398</v>
          </cell>
        </row>
        <row r="42">
          <cell r="B42" t="str">
            <v>河源零跑</v>
          </cell>
          <cell r="C42">
            <v>622</v>
          </cell>
          <cell r="D42">
            <v>461</v>
          </cell>
          <cell r="E42">
            <v>432</v>
          </cell>
          <cell r="F42">
            <v>339</v>
          </cell>
          <cell r="G42">
            <v>305</v>
          </cell>
          <cell r="H42">
            <v>399</v>
          </cell>
          <cell r="I42">
            <v>409</v>
          </cell>
        </row>
        <row r="43">
          <cell r="B43" t="str">
            <v>汕头零跑</v>
          </cell>
          <cell r="C43">
            <v>71</v>
          </cell>
          <cell r="D43">
            <v>253</v>
          </cell>
          <cell r="E43">
            <v>370</v>
          </cell>
          <cell r="F43">
            <v>428</v>
          </cell>
          <cell r="G43">
            <v>460</v>
          </cell>
          <cell r="H43">
            <v>501</v>
          </cell>
          <cell r="I43">
            <v>709</v>
          </cell>
        </row>
        <row r="44">
          <cell r="B44" t="str">
            <v>清远零跑</v>
          </cell>
          <cell r="C44">
            <v>18</v>
          </cell>
          <cell r="D44">
            <v>66</v>
          </cell>
          <cell r="E44">
            <v>159</v>
          </cell>
          <cell r="F44">
            <v>192</v>
          </cell>
          <cell r="G44">
            <v>232</v>
          </cell>
          <cell r="H44">
            <v>296</v>
          </cell>
          <cell r="I44">
            <v>374</v>
          </cell>
        </row>
        <row r="45">
          <cell r="B45" t="str">
            <v>湛江零跑</v>
          </cell>
          <cell r="C45">
            <v>20</v>
          </cell>
          <cell r="D45">
            <v>3</v>
          </cell>
          <cell r="E45">
            <v>107</v>
          </cell>
          <cell r="F45">
            <v>206</v>
          </cell>
          <cell r="G45">
            <v>206</v>
          </cell>
          <cell r="H45">
            <v>161</v>
          </cell>
          <cell r="I45">
            <v>145</v>
          </cell>
        </row>
        <row r="46">
          <cell r="B46" t="str">
            <v>江门大众</v>
          </cell>
          <cell r="C46">
            <v>166</v>
          </cell>
          <cell r="D46">
            <v>151</v>
          </cell>
          <cell r="E46">
            <v>77</v>
          </cell>
          <cell r="F46">
            <v>35</v>
          </cell>
          <cell r="G46">
            <v>99</v>
          </cell>
          <cell r="H46">
            <v>120</v>
          </cell>
          <cell r="I46">
            <v>111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zoomScale="60" zoomScaleNormal="60" workbookViewId="0">
      <pane xSplit="5" ySplit="4" topLeftCell="F10" activePane="bottomRight" state="frozen"/>
      <selection pane="topRight"/>
      <selection pane="bottomLeft"/>
      <selection pane="bottomRight" activeCell="P23" sqref="P23"/>
    </sheetView>
  </sheetViews>
  <sheetFormatPr defaultColWidth="8.796875" defaultRowHeight="13.9"/>
  <cols>
    <col min="1" max="1" width="5.1328125" customWidth="1"/>
    <col min="2" max="2" width="10.796875" customWidth="1"/>
    <col min="3" max="3" width="0.1328125" customWidth="1"/>
    <col min="4" max="4" width="10.796875" hidden="1" customWidth="1"/>
    <col min="5" max="5" width="5.796875" hidden="1" customWidth="1"/>
    <col min="6" max="10" width="8.796875" customWidth="1"/>
    <col min="11" max="11" width="10.796875" customWidth="1"/>
    <col min="12" max="14" width="8.796875" customWidth="1"/>
    <col min="15" max="16" width="9.1328125" customWidth="1"/>
  </cols>
  <sheetData>
    <row r="1" spans="1:17" ht="66" customHeight="1">
      <c r="A1" s="210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</row>
    <row r="2" spans="1:17" ht="24.5" customHeight="1">
      <c r="A2" s="219" t="s">
        <v>1</v>
      </c>
      <c r="B2" s="222" t="s">
        <v>2</v>
      </c>
      <c r="C2" s="212" t="s">
        <v>3</v>
      </c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156"/>
    </row>
    <row r="3" spans="1:17" ht="20" customHeight="1">
      <c r="A3" s="220"/>
      <c r="B3" s="223"/>
      <c r="C3" s="214" t="s">
        <v>4</v>
      </c>
      <c r="D3" s="215"/>
      <c r="E3" s="216"/>
      <c r="F3" s="225" t="s">
        <v>5</v>
      </c>
      <c r="G3" s="227" t="s">
        <v>6</v>
      </c>
      <c r="H3" s="217" t="s">
        <v>7</v>
      </c>
      <c r="I3" s="218"/>
      <c r="J3" s="218"/>
      <c r="K3" s="218"/>
      <c r="L3" s="218"/>
      <c r="M3" s="218"/>
      <c r="N3" s="218"/>
      <c r="O3" s="157"/>
      <c r="P3" s="158"/>
    </row>
    <row r="4" spans="1:17" ht="53.55" customHeight="1">
      <c r="A4" s="221"/>
      <c r="B4" s="224"/>
      <c r="C4" s="159" t="s">
        <v>8</v>
      </c>
      <c r="D4" s="160" t="s">
        <v>9</v>
      </c>
      <c r="E4" s="161" t="s">
        <v>10</v>
      </c>
      <c r="F4" s="226"/>
      <c r="G4" s="228"/>
      <c r="H4" s="162" t="s">
        <v>11</v>
      </c>
      <c r="I4" s="162" t="s">
        <v>12</v>
      </c>
      <c r="J4" s="162" t="s">
        <v>13</v>
      </c>
      <c r="K4" s="162" t="s">
        <v>14</v>
      </c>
      <c r="L4" s="162" t="s">
        <v>15</v>
      </c>
      <c r="M4" s="163" t="s">
        <v>16</v>
      </c>
      <c r="N4" s="164" t="s">
        <v>17</v>
      </c>
      <c r="O4" s="165" t="s">
        <v>18</v>
      </c>
      <c r="P4" s="166" t="s">
        <v>19</v>
      </c>
    </row>
    <row r="5" spans="1:17" ht="20" customHeight="1">
      <c r="A5" s="167">
        <v>1</v>
      </c>
      <c r="B5" s="168" t="s">
        <v>20</v>
      </c>
      <c r="C5" s="169"/>
      <c r="D5" s="170"/>
      <c r="E5" s="170"/>
      <c r="F5" s="171">
        <v>120</v>
      </c>
      <c r="G5" s="171">
        <v>100</v>
      </c>
      <c r="H5" s="171">
        <v>1000</v>
      </c>
      <c r="I5" s="172">
        <f t="shared" ref="I5" si="0">H5/F5</f>
        <v>8.3333333333333304</v>
      </c>
      <c r="J5" s="173">
        <v>200</v>
      </c>
      <c r="K5" s="172">
        <f t="shared" ref="K5" si="1">J5/G5</f>
        <v>2</v>
      </c>
      <c r="L5" s="171">
        <v>1000</v>
      </c>
      <c r="M5" s="171">
        <f t="shared" ref="M5:M21" si="2">H5+J5+N5</f>
        <v>1200</v>
      </c>
      <c r="N5" s="173">
        <v>0</v>
      </c>
      <c r="O5" s="171">
        <v>50</v>
      </c>
      <c r="P5" s="171">
        <v>25</v>
      </c>
    </row>
    <row r="6" spans="1:17" ht="20" customHeight="1">
      <c r="A6" s="174">
        <v>2</v>
      </c>
      <c r="B6" s="175" t="s">
        <v>21</v>
      </c>
      <c r="C6" s="176"/>
      <c r="D6" s="177"/>
      <c r="E6" s="177"/>
      <c r="F6" s="173">
        <v>80</v>
      </c>
      <c r="G6" s="173">
        <v>90</v>
      </c>
      <c r="H6" s="173">
        <v>600</v>
      </c>
      <c r="I6" s="172">
        <f t="shared" ref="I6:I22" si="3">H6/F6</f>
        <v>7.5</v>
      </c>
      <c r="J6" s="173">
        <v>800</v>
      </c>
      <c r="K6" s="172">
        <f t="shared" ref="K6:K22" si="4">J6/G6</f>
        <v>8.8888888888888893</v>
      </c>
      <c r="L6" s="173">
        <v>1200</v>
      </c>
      <c r="M6" s="171">
        <f t="shared" si="2"/>
        <v>1400</v>
      </c>
      <c r="N6" s="173">
        <v>0</v>
      </c>
      <c r="O6" s="173">
        <v>80</v>
      </c>
      <c r="P6" s="173">
        <v>20</v>
      </c>
    </row>
    <row r="7" spans="1:17" ht="20" customHeight="1">
      <c r="A7" s="167">
        <v>3</v>
      </c>
      <c r="B7" s="175" t="s">
        <v>22</v>
      </c>
      <c r="C7" s="169"/>
      <c r="D7" s="178"/>
      <c r="E7" s="178"/>
      <c r="F7" s="173">
        <v>80</v>
      </c>
      <c r="G7" s="173">
        <v>80</v>
      </c>
      <c r="H7" s="173">
        <v>450</v>
      </c>
      <c r="I7" s="172">
        <f t="shared" si="3"/>
        <v>5.625</v>
      </c>
      <c r="J7" s="173">
        <v>150</v>
      </c>
      <c r="K7" s="172">
        <f t="shared" si="4"/>
        <v>1.875</v>
      </c>
      <c r="L7" s="173">
        <v>600</v>
      </c>
      <c r="M7" s="171">
        <f t="shared" si="2"/>
        <v>600</v>
      </c>
      <c r="N7" s="173">
        <v>0</v>
      </c>
      <c r="O7" s="173">
        <v>60</v>
      </c>
      <c r="P7" s="173">
        <v>15</v>
      </c>
    </row>
    <row r="8" spans="1:17" ht="20" customHeight="1">
      <c r="A8" s="174">
        <v>4</v>
      </c>
      <c r="B8" s="179" t="s">
        <v>23</v>
      </c>
      <c r="C8" s="176"/>
      <c r="D8" s="177"/>
      <c r="E8" s="176"/>
      <c r="F8" s="173">
        <v>70</v>
      </c>
      <c r="G8" s="173">
        <v>70</v>
      </c>
      <c r="H8" s="173">
        <v>200</v>
      </c>
      <c r="I8" s="172">
        <f t="shared" si="3"/>
        <v>2.8571428571428599</v>
      </c>
      <c r="J8" s="173">
        <v>50</v>
      </c>
      <c r="K8" s="172">
        <f t="shared" si="4"/>
        <v>0.71428571428571397</v>
      </c>
      <c r="L8" s="173">
        <v>100</v>
      </c>
      <c r="M8" s="171">
        <f t="shared" si="2"/>
        <v>250</v>
      </c>
      <c r="N8" s="173">
        <v>0</v>
      </c>
      <c r="O8" s="173">
        <v>30</v>
      </c>
      <c r="P8" s="173">
        <v>6</v>
      </c>
    </row>
    <row r="9" spans="1:17" ht="20" customHeight="1">
      <c r="A9" s="180">
        <v>5</v>
      </c>
      <c r="B9" s="174" t="s">
        <v>24</v>
      </c>
      <c r="C9" s="170"/>
      <c r="D9" s="181"/>
      <c r="E9" s="182"/>
      <c r="F9" s="173">
        <v>90</v>
      </c>
      <c r="G9" s="173">
        <v>60</v>
      </c>
      <c r="H9" s="173">
        <v>400</v>
      </c>
      <c r="I9" s="172">
        <f t="shared" si="3"/>
        <v>4.4444444444444402</v>
      </c>
      <c r="J9" s="173">
        <v>50</v>
      </c>
      <c r="K9" s="172">
        <f t="shared" si="4"/>
        <v>0.83333333333333304</v>
      </c>
      <c r="L9" s="173">
        <v>200</v>
      </c>
      <c r="M9" s="171">
        <f t="shared" si="2"/>
        <v>450</v>
      </c>
      <c r="N9" s="173">
        <v>0</v>
      </c>
      <c r="O9" s="173">
        <v>40</v>
      </c>
      <c r="P9" s="173">
        <v>5</v>
      </c>
    </row>
    <row r="10" spans="1:17" ht="20" customHeight="1">
      <c r="A10" s="174">
        <v>6</v>
      </c>
      <c r="B10" s="167" t="s">
        <v>25</v>
      </c>
      <c r="C10" s="177"/>
      <c r="D10" s="177"/>
      <c r="E10" s="176"/>
      <c r="F10" s="173">
        <v>70</v>
      </c>
      <c r="G10" s="173">
        <v>70</v>
      </c>
      <c r="H10" s="183">
        <v>200</v>
      </c>
      <c r="I10" s="172">
        <f t="shared" si="3"/>
        <v>2.8571428571428599</v>
      </c>
      <c r="J10" s="173">
        <v>50</v>
      </c>
      <c r="K10" s="172">
        <f t="shared" si="4"/>
        <v>0.71428571428571397</v>
      </c>
      <c r="L10" s="173">
        <v>30</v>
      </c>
      <c r="M10" s="171">
        <f t="shared" si="2"/>
        <v>350</v>
      </c>
      <c r="N10" s="173">
        <v>100</v>
      </c>
      <c r="O10" s="173">
        <v>30</v>
      </c>
      <c r="P10" s="173">
        <v>8</v>
      </c>
    </row>
    <row r="11" spans="1:17" ht="20" customHeight="1">
      <c r="A11" s="174">
        <v>7</v>
      </c>
      <c r="B11" s="184" t="s">
        <v>26</v>
      </c>
      <c r="C11" s="169"/>
      <c r="D11" s="178"/>
      <c r="E11" s="169"/>
      <c r="F11" s="173">
        <v>80</v>
      </c>
      <c r="G11" s="173">
        <v>60</v>
      </c>
      <c r="H11" s="173">
        <v>350</v>
      </c>
      <c r="I11" s="172">
        <f t="shared" si="3"/>
        <v>4.375</v>
      </c>
      <c r="J11" s="173">
        <v>60</v>
      </c>
      <c r="K11" s="172">
        <f t="shared" si="4"/>
        <v>1</v>
      </c>
      <c r="L11" s="173">
        <v>200</v>
      </c>
      <c r="M11" s="171">
        <f t="shared" si="2"/>
        <v>510</v>
      </c>
      <c r="N11" s="173">
        <v>100</v>
      </c>
      <c r="O11" s="173">
        <v>45</v>
      </c>
      <c r="P11" s="173">
        <v>15</v>
      </c>
    </row>
    <row r="12" spans="1:17" ht="20" customHeight="1">
      <c r="A12" s="174">
        <v>8</v>
      </c>
      <c r="B12" s="185" t="s">
        <v>27</v>
      </c>
      <c r="C12" s="186"/>
      <c r="D12" s="187"/>
      <c r="E12" s="186"/>
      <c r="F12" s="173">
        <v>50</v>
      </c>
      <c r="G12" s="173">
        <v>80</v>
      </c>
      <c r="H12" s="173">
        <v>300</v>
      </c>
      <c r="I12" s="172">
        <f t="shared" si="3"/>
        <v>6</v>
      </c>
      <c r="J12" s="173">
        <v>400</v>
      </c>
      <c r="K12" s="172">
        <f t="shared" si="4"/>
        <v>5</v>
      </c>
      <c r="L12" s="173">
        <v>600</v>
      </c>
      <c r="M12" s="171">
        <f t="shared" si="2"/>
        <v>700</v>
      </c>
      <c r="N12" s="173">
        <v>0</v>
      </c>
      <c r="O12" s="173">
        <v>40</v>
      </c>
      <c r="P12" s="173">
        <v>20</v>
      </c>
    </row>
    <row r="13" spans="1:17" ht="20" customHeight="1">
      <c r="A13" s="174">
        <v>9</v>
      </c>
      <c r="B13" s="185" t="s">
        <v>28</v>
      </c>
      <c r="C13" s="188"/>
      <c r="D13" s="188"/>
      <c r="E13" s="188"/>
      <c r="F13" s="173">
        <v>60</v>
      </c>
      <c r="G13" s="173">
        <v>60</v>
      </c>
      <c r="H13" s="173">
        <v>120</v>
      </c>
      <c r="I13" s="172">
        <f t="shared" si="3"/>
        <v>2</v>
      </c>
      <c r="J13" s="173">
        <v>300</v>
      </c>
      <c r="K13" s="172">
        <f t="shared" si="4"/>
        <v>5</v>
      </c>
      <c r="L13" s="173">
        <v>200</v>
      </c>
      <c r="M13" s="171">
        <f t="shared" si="2"/>
        <v>540</v>
      </c>
      <c r="N13" s="173">
        <v>120</v>
      </c>
      <c r="O13" s="173">
        <v>20</v>
      </c>
      <c r="P13" s="173">
        <v>10</v>
      </c>
    </row>
    <row r="14" spans="1:17" ht="20" customHeight="1">
      <c r="A14" s="174">
        <v>10</v>
      </c>
      <c r="B14" s="185" t="s">
        <v>29</v>
      </c>
      <c r="C14" s="188"/>
      <c r="D14" s="188"/>
      <c r="E14" s="188"/>
      <c r="F14" s="173">
        <v>80</v>
      </c>
      <c r="G14" s="173">
        <v>90</v>
      </c>
      <c r="H14" s="173">
        <v>600</v>
      </c>
      <c r="I14" s="172">
        <f t="shared" si="3"/>
        <v>7.5</v>
      </c>
      <c r="J14" s="173">
        <v>800</v>
      </c>
      <c r="K14" s="172">
        <f t="shared" si="4"/>
        <v>8.8888888888888893</v>
      </c>
      <c r="L14" s="173">
        <v>1200</v>
      </c>
      <c r="M14" s="171">
        <f t="shared" si="2"/>
        <v>1400</v>
      </c>
      <c r="N14" s="173">
        <v>0</v>
      </c>
      <c r="O14" s="173">
        <v>80</v>
      </c>
      <c r="P14" s="173">
        <v>20</v>
      </c>
    </row>
    <row r="15" spans="1:17" ht="20" customHeight="1">
      <c r="A15" s="174">
        <v>11</v>
      </c>
      <c r="B15" s="185" t="s">
        <v>30</v>
      </c>
      <c r="F15" s="173">
        <v>100</v>
      </c>
      <c r="G15" s="173">
        <v>100</v>
      </c>
      <c r="H15" s="173">
        <v>800</v>
      </c>
      <c r="I15" s="172">
        <f t="shared" si="3"/>
        <v>8</v>
      </c>
      <c r="J15" s="173">
        <v>600</v>
      </c>
      <c r="K15" s="172">
        <f t="shared" si="4"/>
        <v>6</v>
      </c>
      <c r="L15" s="173">
        <v>1200</v>
      </c>
      <c r="M15" s="171">
        <f t="shared" si="2"/>
        <v>1400</v>
      </c>
      <c r="N15" s="173">
        <v>0</v>
      </c>
      <c r="O15" s="173">
        <v>80</v>
      </c>
      <c r="P15" s="173">
        <v>20</v>
      </c>
    </row>
    <row r="16" spans="1:17" ht="20" customHeight="1">
      <c r="A16" s="174">
        <v>12</v>
      </c>
      <c r="B16" s="185" t="s">
        <v>31</v>
      </c>
      <c r="F16" s="173">
        <v>80</v>
      </c>
      <c r="G16" s="173">
        <v>90</v>
      </c>
      <c r="H16" s="173">
        <v>200</v>
      </c>
      <c r="I16" s="172">
        <f t="shared" si="3"/>
        <v>2.5</v>
      </c>
      <c r="J16" s="173">
        <v>200</v>
      </c>
      <c r="K16" s="172">
        <f t="shared" si="4"/>
        <v>2.2222222222222201</v>
      </c>
      <c r="L16" s="173">
        <v>150</v>
      </c>
      <c r="M16" s="171">
        <f t="shared" si="2"/>
        <v>456</v>
      </c>
      <c r="N16" s="173">
        <v>56</v>
      </c>
      <c r="O16" s="173">
        <v>50</v>
      </c>
      <c r="P16" s="173">
        <v>8</v>
      </c>
    </row>
    <row r="17" spans="1:16" ht="20" customHeight="1">
      <c r="A17" s="189">
        <v>13</v>
      </c>
      <c r="B17" s="185" t="s">
        <v>32</v>
      </c>
      <c r="F17" s="173">
        <v>80</v>
      </c>
      <c r="G17" s="173">
        <v>60</v>
      </c>
      <c r="H17" s="173">
        <v>400</v>
      </c>
      <c r="I17" s="172">
        <f t="shared" si="3"/>
        <v>5</v>
      </c>
      <c r="J17" s="173">
        <v>100</v>
      </c>
      <c r="K17" s="172">
        <f t="shared" si="4"/>
        <v>1.6666666666666701</v>
      </c>
      <c r="L17" s="173">
        <v>500</v>
      </c>
      <c r="M17" s="171">
        <f t="shared" si="2"/>
        <v>500</v>
      </c>
      <c r="N17" s="173">
        <v>0</v>
      </c>
      <c r="O17" s="173">
        <v>50</v>
      </c>
      <c r="P17" s="173">
        <v>15</v>
      </c>
    </row>
    <row r="18" spans="1:16" ht="20" customHeight="1">
      <c r="A18" s="189">
        <v>14</v>
      </c>
      <c r="B18" s="185" t="s">
        <v>33</v>
      </c>
      <c r="F18" s="173">
        <v>80</v>
      </c>
      <c r="G18" s="173">
        <v>90</v>
      </c>
      <c r="H18" s="173">
        <v>200</v>
      </c>
      <c r="I18" s="172">
        <f t="shared" si="3"/>
        <v>2.5</v>
      </c>
      <c r="J18" s="173">
        <v>200</v>
      </c>
      <c r="K18" s="172">
        <f t="shared" si="4"/>
        <v>2.2222222222222201</v>
      </c>
      <c r="L18" s="173">
        <v>120</v>
      </c>
      <c r="M18" s="171">
        <f t="shared" si="2"/>
        <v>428</v>
      </c>
      <c r="N18" s="173">
        <v>28</v>
      </c>
      <c r="O18" s="173">
        <v>50</v>
      </c>
      <c r="P18" s="173">
        <v>6</v>
      </c>
    </row>
    <row r="19" spans="1:16" ht="20" customHeight="1">
      <c r="A19" s="189">
        <v>15</v>
      </c>
      <c r="B19" s="185" t="s">
        <v>34</v>
      </c>
      <c r="F19" s="173">
        <v>60</v>
      </c>
      <c r="G19" s="173">
        <v>60</v>
      </c>
      <c r="H19" s="173">
        <v>30</v>
      </c>
      <c r="I19" s="172">
        <f t="shared" si="3"/>
        <v>0.5</v>
      </c>
      <c r="J19" s="173">
        <v>30</v>
      </c>
      <c r="K19" s="172">
        <f t="shared" si="4"/>
        <v>0.5</v>
      </c>
      <c r="L19" s="173">
        <v>100</v>
      </c>
      <c r="M19" s="171">
        <f t="shared" si="2"/>
        <v>60</v>
      </c>
      <c r="N19" s="173">
        <v>0</v>
      </c>
      <c r="O19" s="173">
        <v>15</v>
      </c>
      <c r="P19" s="173">
        <v>15</v>
      </c>
    </row>
    <row r="20" spans="1:16" ht="20" customHeight="1">
      <c r="A20" s="189">
        <v>16</v>
      </c>
      <c r="B20" s="185" t="s">
        <v>35</v>
      </c>
      <c r="F20" s="173">
        <v>80</v>
      </c>
      <c r="G20" s="173">
        <v>60</v>
      </c>
      <c r="H20" s="173">
        <v>400</v>
      </c>
      <c r="I20" s="172">
        <f t="shared" si="3"/>
        <v>5</v>
      </c>
      <c r="J20" s="173">
        <v>100</v>
      </c>
      <c r="K20" s="172">
        <f t="shared" si="4"/>
        <v>1.6666666666666701</v>
      </c>
      <c r="L20" s="173">
        <v>500</v>
      </c>
      <c r="M20" s="171">
        <f t="shared" si="2"/>
        <v>500</v>
      </c>
      <c r="N20" s="173">
        <v>0</v>
      </c>
      <c r="O20" s="173">
        <v>50</v>
      </c>
      <c r="P20" s="173">
        <v>15</v>
      </c>
    </row>
    <row r="21" spans="1:16" ht="20" customHeight="1">
      <c r="A21" s="189">
        <v>17</v>
      </c>
      <c r="B21" s="185" t="s">
        <v>36</v>
      </c>
      <c r="F21" s="173">
        <v>80</v>
      </c>
      <c r="G21" s="173">
        <v>100</v>
      </c>
      <c r="H21" s="173">
        <v>200</v>
      </c>
      <c r="I21" s="172">
        <f t="shared" si="3"/>
        <v>2.5</v>
      </c>
      <c r="J21" s="173">
        <v>200</v>
      </c>
      <c r="K21" s="172">
        <f t="shared" si="4"/>
        <v>2</v>
      </c>
      <c r="L21" s="173">
        <v>400</v>
      </c>
      <c r="M21" s="171">
        <f t="shared" si="2"/>
        <v>400</v>
      </c>
      <c r="N21" s="173">
        <v>0</v>
      </c>
      <c r="O21" s="173">
        <v>20</v>
      </c>
      <c r="P21" s="173">
        <v>7</v>
      </c>
    </row>
    <row r="22" spans="1:16" ht="20" customHeight="1">
      <c r="A22" s="189">
        <v>18</v>
      </c>
      <c r="B22" s="185" t="s">
        <v>37</v>
      </c>
      <c r="F22" s="190">
        <v>40</v>
      </c>
      <c r="G22" s="190">
        <v>40</v>
      </c>
      <c r="H22" s="190">
        <v>30</v>
      </c>
      <c r="I22" s="172">
        <f t="shared" si="3"/>
        <v>0.75</v>
      </c>
      <c r="J22" s="173">
        <v>30</v>
      </c>
      <c r="K22" s="172">
        <f t="shared" si="4"/>
        <v>0.75</v>
      </c>
      <c r="L22" s="173">
        <v>250</v>
      </c>
      <c r="M22" s="171">
        <v>250</v>
      </c>
      <c r="N22" s="173">
        <v>0</v>
      </c>
      <c r="O22" s="173">
        <v>8</v>
      </c>
      <c r="P22" s="173">
        <v>2</v>
      </c>
    </row>
    <row r="23" spans="1:16" ht="16.149999999999999">
      <c r="A23" s="189"/>
      <c r="B23" s="191" t="s">
        <v>38</v>
      </c>
      <c r="F23" s="173">
        <f t="shared" ref="F23:P23" si="5">SUM(F5:F22)</f>
        <v>1380</v>
      </c>
      <c r="G23" s="173">
        <f t="shared" si="5"/>
        <v>1360</v>
      </c>
      <c r="H23" s="173">
        <f t="shared" si="5"/>
        <v>6480</v>
      </c>
      <c r="I23" s="172">
        <f t="shared" si="5"/>
        <v>78.242063492063494</v>
      </c>
      <c r="J23" s="173">
        <f t="shared" si="5"/>
        <v>4320</v>
      </c>
      <c r="K23" s="172">
        <f t="shared" si="5"/>
        <v>51.942460317460302</v>
      </c>
      <c r="L23" s="173">
        <f t="shared" si="5"/>
        <v>8550</v>
      </c>
      <c r="M23" s="173">
        <f t="shared" si="5"/>
        <v>11394</v>
      </c>
      <c r="N23" s="173">
        <f t="shared" si="5"/>
        <v>404</v>
      </c>
      <c r="O23" s="173">
        <f t="shared" si="5"/>
        <v>798</v>
      </c>
      <c r="P23" s="173">
        <f t="shared" si="5"/>
        <v>232</v>
      </c>
    </row>
  </sheetData>
  <mergeCells count="8">
    <mergeCell ref="A1:P1"/>
    <mergeCell ref="C2:P2"/>
    <mergeCell ref="C3:E3"/>
    <mergeCell ref="H3:N3"/>
    <mergeCell ref="A2:A4"/>
    <mergeCell ref="B2:B4"/>
    <mergeCell ref="F3:F4"/>
    <mergeCell ref="G3:G4"/>
  </mergeCells>
  <phoneticPr fontId="2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94"/>
  <sheetViews>
    <sheetView zoomScale="60" zoomScaleNormal="60" workbookViewId="0">
      <selection activeCell="J21" sqref="J21"/>
    </sheetView>
  </sheetViews>
  <sheetFormatPr defaultColWidth="8.796875" defaultRowHeight="15.75"/>
  <cols>
    <col min="1" max="1" width="30.33203125" style="52" customWidth="1"/>
    <col min="2" max="2" width="11.796875" style="52" hidden="1" customWidth="1"/>
    <col min="3" max="4" width="14.796875" style="52" customWidth="1"/>
    <col min="5" max="5" width="14.796875" style="112" customWidth="1"/>
    <col min="6" max="7" width="14.796875" style="113" customWidth="1"/>
    <col min="8" max="8" width="18.33203125" style="52" hidden="1" customWidth="1"/>
    <col min="9" max="10" width="10" style="53" customWidth="1"/>
    <col min="11" max="11" width="30.1328125" style="53" hidden="1" customWidth="1"/>
    <col min="12" max="12" width="14.796875" style="53" hidden="1" customWidth="1"/>
    <col min="13" max="13" width="16.1328125" style="52" hidden="1" customWidth="1"/>
    <col min="14" max="14" width="12.33203125" style="52" hidden="1" customWidth="1"/>
    <col min="15" max="15" width="12.796875" style="52" hidden="1" customWidth="1"/>
    <col min="16" max="16384" width="8.796875" style="52"/>
  </cols>
  <sheetData>
    <row r="1" spans="1:15" ht="16.25" customHeight="1">
      <c r="A1" s="263" t="s">
        <v>39</v>
      </c>
      <c r="B1" s="263"/>
      <c r="C1" s="263"/>
      <c r="D1" s="263"/>
      <c r="E1" s="263"/>
      <c r="F1" s="263"/>
      <c r="G1" s="263"/>
      <c r="H1" s="263"/>
    </row>
    <row r="2" spans="1:15" ht="34.799999999999997" customHeight="1">
      <c r="A2" s="263"/>
      <c r="B2" s="263"/>
      <c r="C2" s="263"/>
      <c r="D2" s="263"/>
      <c r="E2" s="263"/>
      <c r="F2" s="263"/>
      <c r="G2" s="263"/>
      <c r="H2" s="263"/>
      <c r="K2" t="s">
        <v>40</v>
      </c>
      <c r="L2"/>
      <c r="M2"/>
      <c r="N2"/>
      <c r="O2"/>
    </row>
    <row r="3" spans="1:15" s="51" customFormat="1" ht="22.05" customHeight="1">
      <c r="A3" s="114" t="s">
        <v>41</v>
      </c>
      <c r="B3" s="229" t="s">
        <v>42</v>
      </c>
      <c r="C3" s="229"/>
      <c r="D3" s="114" t="s">
        <v>43</v>
      </c>
      <c r="E3" s="115">
        <f>24/31*100%</f>
        <v>0.77419354838709697</v>
      </c>
      <c r="F3" s="116"/>
      <c r="G3" s="116"/>
      <c r="I3" s="55"/>
      <c r="J3" s="55"/>
      <c r="K3"/>
      <c r="L3" s="33" t="s">
        <v>44</v>
      </c>
      <c r="M3" s="34" t="s">
        <v>45</v>
      </c>
      <c r="N3" s="34" t="s">
        <v>46</v>
      </c>
      <c r="O3" s="34" t="s">
        <v>47</v>
      </c>
    </row>
    <row r="4" spans="1:15" s="51" customFormat="1" ht="22.05" customHeight="1">
      <c r="A4" s="230" t="str">
        <f>'总表-数据收集'!B5</f>
        <v>花都广本</v>
      </c>
      <c r="B4" s="231"/>
      <c r="C4" s="231"/>
      <c r="D4" s="231"/>
      <c r="E4" s="231"/>
      <c r="F4" s="231"/>
      <c r="G4" s="231"/>
      <c r="H4" s="231"/>
      <c r="I4" s="55">
        <v>5</v>
      </c>
      <c r="J4" s="55"/>
      <c r="K4" s="35" t="s">
        <v>20</v>
      </c>
      <c r="L4" t="e">
        <f>'总表-数据收集'!#REF!</f>
        <v>#REF!</v>
      </c>
      <c r="M4" t="e">
        <f>'总表-数据收集'!#REF!</f>
        <v>#REF!</v>
      </c>
      <c r="N4" t="e">
        <f>'总表-数据收集'!#REF!</f>
        <v>#REF!</v>
      </c>
      <c r="O4" t="e">
        <f>'总表-数据收集'!#REF!</f>
        <v>#REF!</v>
      </c>
    </row>
    <row r="5" spans="1:15" s="51" customFormat="1" ht="22.05" customHeight="1">
      <c r="A5" s="117" t="s">
        <v>48</v>
      </c>
      <c r="B5" s="117" t="s">
        <v>49</v>
      </c>
      <c r="C5" s="117" t="s">
        <v>50</v>
      </c>
      <c r="D5" s="117" t="s">
        <v>51</v>
      </c>
      <c r="E5" s="117" t="s">
        <v>52</v>
      </c>
      <c r="F5" s="58" t="s">
        <v>53</v>
      </c>
      <c r="G5" s="58" t="s">
        <v>54</v>
      </c>
      <c r="H5" s="58" t="s">
        <v>55</v>
      </c>
      <c r="I5" s="55"/>
      <c r="J5" s="55"/>
      <c r="K5" s="37" t="s">
        <v>21</v>
      </c>
      <c r="L5" t="e">
        <f>'总表-数据收集'!#REF!</f>
        <v>#REF!</v>
      </c>
      <c r="M5" t="e">
        <f>'总表-数据收集'!#REF!</f>
        <v>#REF!</v>
      </c>
      <c r="N5" t="e">
        <f>'总表-数据收集'!#REF!</f>
        <v>#REF!</v>
      </c>
      <c r="O5" t="e">
        <f>'总表-数据收集'!#REF!</f>
        <v>#REF!</v>
      </c>
    </row>
    <row r="6" spans="1:15" s="51" customFormat="1" ht="22.05" customHeight="1">
      <c r="A6" s="118" t="s">
        <v>56</v>
      </c>
      <c r="B6" s="119" t="e">
        <f>#REF!</f>
        <v>#REF!</v>
      </c>
      <c r="C6" s="119" t="e">
        <f>'总表-数据收集'!#REF!</f>
        <v>#REF!</v>
      </c>
      <c r="D6" s="120">
        <f>目标数据!F5</f>
        <v>120</v>
      </c>
      <c r="E6" s="121" t="e">
        <f>C6/D6</f>
        <v>#REF!</v>
      </c>
      <c r="F6" s="122" t="e">
        <f>C6-D6*E3</f>
        <v>#REF!</v>
      </c>
      <c r="G6" s="122" t="e">
        <f>C6-D6</f>
        <v>#REF!</v>
      </c>
      <c r="H6" s="59"/>
      <c r="I6" s="63"/>
      <c r="J6" s="63"/>
      <c r="K6" s="36" t="s">
        <v>22</v>
      </c>
      <c r="L6" t="e">
        <f>'总表-数据收集'!#REF!</f>
        <v>#REF!</v>
      </c>
      <c r="M6" t="e">
        <f>'总表-数据收集'!#REF!</f>
        <v>#REF!</v>
      </c>
      <c r="N6" t="e">
        <f>'总表-数据收集'!#REF!</f>
        <v>#REF!</v>
      </c>
      <c r="O6" t="e">
        <f>'总表-数据收集'!#REF!</f>
        <v>#REF!</v>
      </c>
    </row>
    <row r="7" spans="1:15" s="51" customFormat="1" ht="22.05" customHeight="1">
      <c r="A7" s="118" t="s">
        <v>57</v>
      </c>
      <c r="B7" s="119" t="e">
        <f>#REF!</f>
        <v>#REF!</v>
      </c>
      <c r="C7" s="119" t="e">
        <f>'总表-数据收集'!#REF!</f>
        <v>#REF!</v>
      </c>
      <c r="D7" s="120">
        <f>目标数据!G5</f>
        <v>100</v>
      </c>
      <c r="E7" s="121" t="e">
        <f t="shared" ref="E7:E10" si="0">C7/D7</f>
        <v>#REF!</v>
      </c>
      <c r="F7" s="122" t="e">
        <f>C7-D7*E3</f>
        <v>#REF!</v>
      </c>
      <c r="G7" s="122" t="e">
        <f t="shared" ref="G7:G10" si="1">C7-D7</f>
        <v>#REF!</v>
      </c>
      <c r="H7" s="59"/>
      <c r="I7" s="63"/>
      <c r="J7" s="63"/>
      <c r="K7" s="38" t="s">
        <v>23</v>
      </c>
      <c r="L7" t="e">
        <f>'总表-数据收集'!#REF!</f>
        <v>#REF!</v>
      </c>
      <c r="M7" t="e">
        <f>'总表-数据收集'!#REF!</f>
        <v>#REF!</v>
      </c>
      <c r="N7" t="e">
        <f>'总表-数据收集'!#REF!</f>
        <v>#REF!</v>
      </c>
      <c r="O7" t="e">
        <f>'总表-数据收集'!#REF!</f>
        <v>#REF!</v>
      </c>
    </row>
    <row r="8" spans="1:15" s="51" customFormat="1" ht="22.05" customHeight="1">
      <c r="A8" s="118" t="s">
        <v>58</v>
      </c>
      <c r="B8" s="119" t="e">
        <f>#REF!</f>
        <v>#REF!</v>
      </c>
      <c r="C8" s="119" t="e">
        <f>'总表-数据收集'!#REF!</f>
        <v>#REF!</v>
      </c>
      <c r="D8" s="120">
        <f>目标数据!M5</f>
        <v>1200</v>
      </c>
      <c r="E8" s="121" t="e">
        <f t="shared" si="0"/>
        <v>#REF!</v>
      </c>
      <c r="F8" s="122" t="e">
        <f>C8-D8*E3</f>
        <v>#REF!</v>
      </c>
      <c r="G8" s="122" t="e">
        <f t="shared" si="1"/>
        <v>#REF!</v>
      </c>
      <c r="H8" s="59"/>
      <c r="I8" s="63"/>
      <c r="J8" s="63"/>
      <c r="K8" s="39" t="s">
        <v>24</v>
      </c>
      <c r="L8" t="e">
        <f>'总表-数据收集'!#REF!</f>
        <v>#REF!</v>
      </c>
      <c r="M8" t="e">
        <f>'总表-数据收集'!#REF!</f>
        <v>#REF!</v>
      </c>
      <c r="N8" t="e">
        <f>'总表-数据收集'!#REF!</f>
        <v>#REF!</v>
      </c>
      <c r="O8" t="e">
        <f>'总表-数据收集'!#REF!</f>
        <v>#REF!</v>
      </c>
    </row>
    <row r="9" spans="1:15" s="51" customFormat="1" ht="22.05" customHeight="1">
      <c r="A9" s="118" t="s">
        <v>59</v>
      </c>
      <c r="B9" s="119" t="e">
        <f>#REF!</f>
        <v>#REF!</v>
      </c>
      <c r="C9" s="119" t="e">
        <f>'总表-数据收集'!#REF!</f>
        <v>#REF!</v>
      </c>
      <c r="D9" s="120">
        <f>目标数据!O5</f>
        <v>50</v>
      </c>
      <c r="E9" s="121" t="e">
        <f t="shared" si="0"/>
        <v>#REF!</v>
      </c>
      <c r="F9" s="122" t="e">
        <f>C9-D9*E3</f>
        <v>#REF!</v>
      </c>
      <c r="G9" s="122" t="e">
        <f t="shared" si="1"/>
        <v>#REF!</v>
      </c>
      <c r="H9" s="59"/>
      <c r="I9" s="63"/>
      <c r="J9" s="63"/>
      <c r="K9" s="38" t="s">
        <v>25</v>
      </c>
      <c r="L9" t="e">
        <f>'总表-数据收集'!#REF!</f>
        <v>#REF!</v>
      </c>
      <c r="M9" t="e">
        <f>'总表-数据收集'!#REF!</f>
        <v>#REF!</v>
      </c>
      <c r="N9" t="e">
        <f>'总表-数据收集'!#REF!</f>
        <v>#REF!</v>
      </c>
      <c r="O9" t="e">
        <f>'总表-数据收集'!#REF!</f>
        <v>#REF!</v>
      </c>
    </row>
    <row r="10" spans="1:15" s="51" customFormat="1" ht="22.05" customHeight="1">
      <c r="A10" s="118" t="s">
        <v>60</v>
      </c>
      <c r="B10" s="119" t="e">
        <f>#REF!</f>
        <v>#REF!</v>
      </c>
      <c r="C10" s="119" t="e">
        <f>'总表-数据收集'!#REF!</f>
        <v>#REF!</v>
      </c>
      <c r="D10" s="120">
        <f>目标数据!P5</f>
        <v>25</v>
      </c>
      <c r="E10" s="121" t="e">
        <f t="shared" si="0"/>
        <v>#REF!</v>
      </c>
      <c r="F10" s="122" t="e">
        <f>C10-D10*E3</f>
        <v>#REF!</v>
      </c>
      <c r="G10" s="122" t="e">
        <f t="shared" si="1"/>
        <v>#REF!</v>
      </c>
      <c r="H10" s="59"/>
      <c r="I10" s="63"/>
      <c r="J10" s="63"/>
      <c r="K10" s="40" t="s">
        <v>26</v>
      </c>
      <c r="L10" t="e">
        <f>'总表-数据收集'!#REF!</f>
        <v>#REF!</v>
      </c>
      <c r="M10" t="e">
        <f>'总表-数据收集'!#REF!</f>
        <v>#REF!</v>
      </c>
      <c r="N10" t="e">
        <f>'总表-数据收集'!#REF!</f>
        <v>#REF!</v>
      </c>
      <c r="O10" t="e">
        <f>'总表-数据收集'!#REF!</f>
        <v>#REF!</v>
      </c>
    </row>
    <row r="11" spans="1:15" s="51" customFormat="1" ht="22.05" customHeight="1">
      <c r="A11" s="118" t="s">
        <v>61</v>
      </c>
      <c r="B11" s="232" t="e">
        <f>'总表-数据收集'!#REF!</f>
        <v>#REF!</v>
      </c>
      <c r="C11" s="232"/>
      <c r="D11" s="232"/>
      <c r="E11" s="232"/>
      <c r="F11" s="232"/>
      <c r="G11" s="232"/>
      <c r="I11" s="55"/>
      <c r="J11" s="55"/>
      <c r="K11" s="38" t="s">
        <v>27</v>
      </c>
      <c r="L11" t="e">
        <f>'总表-数据收集'!#REF!</f>
        <v>#REF!</v>
      </c>
      <c r="M11" t="e">
        <f>'总表-数据收集'!#REF!</f>
        <v>#REF!</v>
      </c>
      <c r="N11" t="e">
        <f>'总表-数据收集'!#REF!</f>
        <v>#REF!</v>
      </c>
      <c r="O11" t="e">
        <f>'总表-数据收集'!#REF!</f>
        <v>#REF!</v>
      </c>
    </row>
    <row r="12" spans="1:15" s="51" customFormat="1" ht="22.05" customHeight="1">
      <c r="A12" s="118" t="s">
        <v>62</v>
      </c>
      <c r="B12" s="233" t="e">
        <f>'总表-数据收集'!#REF!</f>
        <v>#REF!</v>
      </c>
      <c r="C12" s="233"/>
      <c r="D12" s="233"/>
      <c r="E12" s="233"/>
      <c r="F12" s="233"/>
      <c r="G12" s="233"/>
      <c r="I12" s="55"/>
      <c r="J12" s="55"/>
      <c r="K12" s="38" t="s">
        <v>28</v>
      </c>
      <c r="L12" t="e">
        <f>'总表-数据收集'!#REF!</f>
        <v>#REF!</v>
      </c>
      <c r="M12" t="e">
        <f>'总表-数据收集'!#REF!</f>
        <v>#REF!</v>
      </c>
      <c r="N12" t="e">
        <f>'总表-数据收集'!#REF!</f>
        <v>#REF!</v>
      </c>
      <c r="O12" t="e">
        <f>'总表-数据收集'!#REF!</f>
        <v>#REF!</v>
      </c>
    </row>
    <row r="13" spans="1:15" s="51" customFormat="1" ht="22.05" hidden="1" customHeight="1">
      <c r="A13" s="55"/>
      <c r="B13" s="123"/>
      <c r="C13" s="123"/>
      <c r="D13" s="123"/>
      <c r="E13" s="123"/>
      <c r="F13" s="123"/>
      <c r="G13" s="123"/>
      <c r="I13" s="55"/>
      <c r="J13" s="55"/>
      <c r="K13" s="41" t="s">
        <v>29</v>
      </c>
      <c r="L13" t="e">
        <f>'总表-数据收集'!#REF!</f>
        <v>#REF!</v>
      </c>
      <c r="M13" t="e">
        <f>'总表-数据收集'!#REF!</f>
        <v>#REF!</v>
      </c>
      <c r="N13" t="e">
        <f>'总表-数据收集'!#REF!</f>
        <v>#REF!</v>
      </c>
      <c r="O13" t="e">
        <f>'总表-数据收集'!#REF!</f>
        <v>#REF!</v>
      </c>
    </row>
    <row r="14" spans="1:15" s="51" customFormat="1" ht="22.05" hidden="1" customHeight="1">
      <c r="A14" s="55"/>
      <c r="B14" s="123"/>
      <c r="C14" s="123"/>
      <c r="D14" s="123"/>
      <c r="E14" s="123"/>
      <c r="F14" s="123"/>
      <c r="G14" s="123"/>
      <c r="I14" s="55"/>
      <c r="J14" s="55"/>
      <c r="K14" s="38" t="s">
        <v>30</v>
      </c>
      <c r="L14" t="e">
        <f>'总表-数据收集'!#REF!</f>
        <v>#REF!</v>
      </c>
      <c r="M14" t="e">
        <f>'总表-数据收集'!#REF!</f>
        <v>#REF!</v>
      </c>
      <c r="N14" t="e">
        <f>'总表-数据收集'!#REF!</f>
        <v>#REF!</v>
      </c>
      <c r="O14" t="e">
        <f>'总表-数据收集'!#REF!</f>
        <v>#REF!</v>
      </c>
    </row>
    <row r="15" spans="1:15" s="51" customFormat="1" ht="22.05" customHeight="1">
      <c r="A15" s="234"/>
      <c r="B15" s="234"/>
      <c r="C15" s="234"/>
      <c r="D15" s="234"/>
      <c r="E15" s="234"/>
      <c r="F15" s="234"/>
      <c r="G15" s="234"/>
      <c r="I15" s="55"/>
      <c r="J15" s="55"/>
      <c r="K15" s="41" t="s">
        <v>31</v>
      </c>
      <c r="L15" t="e">
        <f>'总表-数据收集'!#REF!</f>
        <v>#REF!</v>
      </c>
      <c r="M15" t="e">
        <f>'总表-数据收集'!#REF!</f>
        <v>#REF!</v>
      </c>
      <c r="N15" t="e">
        <f>'总表-数据收集'!#REF!</f>
        <v>#REF!</v>
      </c>
      <c r="O15" t="e">
        <f>'总表-数据收集'!#REF!</f>
        <v>#REF!</v>
      </c>
    </row>
    <row r="16" spans="1:15" s="51" customFormat="1" ht="22.05" customHeight="1">
      <c r="A16" s="235" t="str">
        <f>'总表-数据收集'!B6</f>
        <v>花都建设北零跑</v>
      </c>
      <c r="B16" s="235"/>
      <c r="C16" s="235"/>
      <c r="D16" s="235"/>
      <c r="E16" s="235"/>
      <c r="F16" s="235"/>
      <c r="G16" s="235"/>
      <c r="H16" s="235"/>
      <c r="I16" s="55">
        <v>6</v>
      </c>
      <c r="J16" s="55"/>
      <c r="K16" s="38" t="s">
        <v>32</v>
      </c>
      <c r="L16" t="e">
        <f>'总表-数据收集'!#REF!</f>
        <v>#REF!</v>
      </c>
      <c r="M16" t="e">
        <f>'总表-数据收集'!#REF!</f>
        <v>#REF!</v>
      </c>
      <c r="N16" t="e">
        <f>'总表-数据收集'!#REF!</f>
        <v>#REF!</v>
      </c>
      <c r="O16" t="e">
        <f>'总表-数据收集'!#REF!</f>
        <v>#REF!</v>
      </c>
    </row>
    <row r="17" spans="1:15" s="51" customFormat="1" ht="22.05" customHeight="1">
      <c r="A17" s="124" t="s">
        <v>48</v>
      </c>
      <c r="B17" s="124" t="s">
        <v>49</v>
      </c>
      <c r="C17" s="124" t="s">
        <v>50</v>
      </c>
      <c r="D17" s="124" t="s">
        <v>51</v>
      </c>
      <c r="E17" s="124" t="s">
        <v>52</v>
      </c>
      <c r="F17" s="58" t="s">
        <v>53</v>
      </c>
      <c r="G17" s="58" t="s">
        <v>54</v>
      </c>
      <c r="H17" s="58" t="s">
        <v>55</v>
      </c>
      <c r="I17" s="55"/>
      <c r="J17" s="55"/>
      <c r="K17" s="41" t="s">
        <v>33</v>
      </c>
      <c r="L17" t="e">
        <f>'总表-数据收集'!#REF!</f>
        <v>#REF!</v>
      </c>
      <c r="M17" t="e">
        <f>'总表-数据收集'!#REF!</f>
        <v>#REF!</v>
      </c>
      <c r="N17" t="e">
        <f>'总表-数据收集'!#REF!</f>
        <v>#REF!</v>
      </c>
      <c r="O17" t="e">
        <f>'总表-数据收集'!#REF!</f>
        <v>#REF!</v>
      </c>
    </row>
    <row r="18" spans="1:15" s="51" customFormat="1" ht="22.05" customHeight="1">
      <c r="A18" s="125" t="s">
        <v>56</v>
      </c>
      <c r="B18" s="126" t="e">
        <f>#REF!</f>
        <v>#REF!</v>
      </c>
      <c r="C18" s="119" t="e">
        <f>'总表-数据收集'!#REF!</f>
        <v>#REF!</v>
      </c>
      <c r="D18" s="120">
        <f>目标数据!F6</f>
        <v>80</v>
      </c>
      <c r="E18" s="127" t="e">
        <f>C18/D18</f>
        <v>#REF!</v>
      </c>
      <c r="F18" s="128" t="e">
        <f>C18-D18*E3</f>
        <v>#REF!</v>
      </c>
      <c r="G18" s="128" t="e">
        <f>C18-D18</f>
        <v>#REF!</v>
      </c>
      <c r="H18" s="61"/>
      <c r="I18" s="55"/>
      <c r="J18" s="55"/>
      <c r="K18" s="38" t="s">
        <v>34</v>
      </c>
      <c r="L18" t="e">
        <f>'总表-数据收集'!#REF!</f>
        <v>#REF!</v>
      </c>
      <c r="M18" t="e">
        <f>'总表-数据收集'!#REF!</f>
        <v>#REF!</v>
      </c>
      <c r="N18" t="e">
        <f>'总表-数据收集'!#REF!</f>
        <v>#REF!</v>
      </c>
      <c r="O18" t="e">
        <f>'总表-数据收集'!#REF!</f>
        <v>#REF!</v>
      </c>
    </row>
    <row r="19" spans="1:15" s="51" customFormat="1" ht="22.05" customHeight="1">
      <c r="A19" s="125" t="s">
        <v>57</v>
      </c>
      <c r="B19" s="126" t="e">
        <f>#REF!</f>
        <v>#REF!</v>
      </c>
      <c r="C19" s="119" t="e">
        <f>'总表-数据收集'!#REF!</f>
        <v>#REF!</v>
      </c>
      <c r="D19" s="120">
        <f>目标数据!G6</f>
        <v>90</v>
      </c>
      <c r="E19" s="129" t="e">
        <f t="shared" ref="E19:E22" si="2">C19/D19</f>
        <v>#REF!</v>
      </c>
      <c r="F19" s="128" t="e">
        <f>C19-D19*E3</f>
        <v>#REF!</v>
      </c>
      <c r="G19" s="128" t="e">
        <f t="shared" ref="G19:G22" si="3">C19-D19</f>
        <v>#REF!</v>
      </c>
      <c r="H19" s="61"/>
      <c r="I19" s="55"/>
      <c r="J19" s="55"/>
      <c r="K19" s="41" t="s">
        <v>35</v>
      </c>
      <c r="L19" t="e">
        <f>'总表-数据收集'!#REF!</f>
        <v>#REF!</v>
      </c>
      <c r="M19" t="e">
        <f>'总表-数据收集'!#REF!</f>
        <v>#REF!</v>
      </c>
      <c r="N19" t="e">
        <f>'总表-数据收集'!#REF!</f>
        <v>#REF!</v>
      </c>
      <c r="O19" t="e">
        <f>'总表-数据收集'!#REF!</f>
        <v>#REF!</v>
      </c>
    </row>
    <row r="20" spans="1:15" s="51" customFormat="1" ht="22.05" customHeight="1">
      <c r="A20" s="125" t="s">
        <v>58</v>
      </c>
      <c r="B20" s="126" t="e">
        <f>#REF!</f>
        <v>#REF!</v>
      </c>
      <c r="C20" s="119" t="e">
        <f>'总表-数据收集'!#REF!</f>
        <v>#REF!</v>
      </c>
      <c r="D20" s="120">
        <f>目标数据!M6</f>
        <v>1400</v>
      </c>
      <c r="E20" s="127" t="e">
        <f t="shared" si="2"/>
        <v>#REF!</v>
      </c>
      <c r="F20" s="128" t="e">
        <f>C20-D20*E3</f>
        <v>#REF!</v>
      </c>
      <c r="G20" s="128" t="e">
        <f t="shared" si="3"/>
        <v>#REF!</v>
      </c>
      <c r="H20" s="61"/>
      <c r="I20" s="55"/>
      <c r="J20" s="55"/>
      <c r="K20" s="38" t="s">
        <v>36</v>
      </c>
      <c r="L20" t="e">
        <f>'总表-数据收集'!#REF!</f>
        <v>#REF!</v>
      </c>
      <c r="M20" t="e">
        <f>'总表-数据收集'!#REF!</f>
        <v>#REF!</v>
      </c>
      <c r="N20" t="e">
        <f>'总表-数据收集'!#REF!</f>
        <v>#REF!</v>
      </c>
      <c r="O20" t="e">
        <f>'总表-数据收集'!#REF!</f>
        <v>#REF!</v>
      </c>
    </row>
    <row r="21" spans="1:15" s="51" customFormat="1" ht="22.05" customHeight="1">
      <c r="A21" s="125" t="s">
        <v>59</v>
      </c>
      <c r="B21" s="126" t="e">
        <f>#REF!</f>
        <v>#REF!</v>
      </c>
      <c r="C21" s="119" t="e">
        <f>'总表-数据收集'!#REF!</f>
        <v>#REF!</v>
      </c>
      <c r="D21" s="120">
        <f>目标数据!O6</f>
        <v>80</v>
      </c>
      <c r="E21" s="129" t="e">
        <f t="shared" si="2"/>
        <v>#REF!</v>
      </c>
      <c r="F21" s="128" t="e">
        <f>C21-D21*E3</f>
        <v>#REF!</v>
      </c>
      <c r="G21" s="128" t="e">
        <f t="shared" si="3"/>
        <v>#REF!</v>
      </c>
      <c r="H21" s="61"/>
      <c r="I21" s="55"/>
      <c r="J21" s="55"/>
      <c r="K21" t="s">
        <v>63</v>
      </c>
      <c r="L21"/>
      <c r="M21"/>
      <c r="N21"/>
      <c r="O21"/>
    </row>
    <row r="22" spans="1:15" s="51" customFormat="1" ht="22.05" customHeight="1">
      <c r="A22" s="125" t="s">
        <v>60</v>
      </c>
      <c r="B22" s="126" t="e">
        <f>#REF!</f>
        <v>#REF!</v>
      </c>
      <c r="C22" s="119" t="e">
        <f>'总表-数据收集'!#REF!</f>
        <v>#REF!</v>
      </c>
      <c r="D22" s="120">
        <f>目标数据!P6</f>
        <v>20</v>
      </c>
      <c r="E22" s="129" t="e">
        <f t="shared" si="2"/>
        <v>#REF!</v>
      </c>
      <c r="F22" s="128" t="e">
        <f>C22-D22*E3</f>
        <v>#REF!</v>
      </c>
      <c r="G22" s="128" t="e">
        <f t="shared" si="3"/>
        <v>#REF!</v>
      </c>
      <c r="H22" s="62"/>
      <c r="I22" s="63"/>
      <c r="J22" s="63"/>
      <c r="K22"/>
      <c r="L22" s="33" t="s">
        <v>44</v>
      </c>
      <c r="M22" s="34" t="s">
        <v>45</v>
      </c>
      <c r="N22" s="34" t="s">
        <v>46</v>
      </c>
      <c r="O22" s="34" t="s">
        <v>47</v>
      </c>
    </row>
    <row r="23" spans="1:15" s="51" customFormat="1" ht="22.05" customHeight="1">
      <c r="A23" s="125" t="s">
        <v>61</v>
      </c>
      <c r="B23" s="236" t="e">
        <f>'总表-数据收集'!#REF!</f>
        <v>#REF!</v>
      </c>
      <c r="C23" s="236"/>
      <c r="D23" s="236"/>
      <c r="E23" s="236"/>
      <c r="F23" s="236"/>
      <c r="G23" s="236"/>
      <c r="H23" s="62"/>
      <c r="I23" s="63"/>
      <c r="J23" s="63"/>
      <c r="K23" s="35" t="s">
        <v>20</v>
      </c>
      <c r="L23" t="e">
        <f>'总表-数据收集'!#REF!</f>
        <v>#REF!</v>
      </c>
      <c r="M23" t="e">
        <f>'总表-数据收集'!#REF!</f>
        <v>#REF!</v>
      </c>
      <c r="N23" t="e">
        <f>'总表-数据收集'!#REF!</f>
        <v>#REF!</v>
      </c>
      <c r="O23" t="e">
        <f>'总表-数据收集'!#REF!</f>
        <v>#REF!</v>
      </c>
    </row>
    <row r="24" spans="1:15" s="51" customFormat="1" ht="22.05" customHeight="1">
      <c r="A24" s="125" t="s">
        <v>62</v>
      </c>
      <c r="B24" s="237" t="e">
        <f>'总表-数据收集'!#REF!</f>
        <v>#REF!</v>
      </c>
      <c r="C24" s="237"/>
      <c r="D24" s="237"/>
      <c r="E24" s="237"/>
      <c r="F24" s="237"/>
      <c r="G24" s="237"/>
      <c r="H24" s="59"/>
      <c r="I24" s="63"/>
      <c r="J24" s="63"/>
      <c r="K24" s="37" t="s">
        <v>21</v>
      </c>
      <c r="L24" t="e">
        <f>'总表-数据收集'!#REF!</f>
        <v>#REF!</v>
      </c>
      <c r="M24" t="e">
        <f>'总表-数据收集'!#REF!</f>
        <v>#REF!</v>
      </c>
      <c r="N24" t="e">
        <f>'总表-数据收集'!#REF!</f>
        <v>#REF!</v>
      </c>
      <c r="O24" t="e">
        <f>'总表-数据收集'!#REF!</f>
        <v>#REF!</v>
      </c>
    </row>
    <row r="25" spans="1:15" s="51" customFormat="1" ht="22.05" customHeight="1">
      <c r="A25" s="234"/>
      <c r="B25" s="234"/>
      <c r="C25" s="234"/>
      <c r="D25" s="234"/>
      <c r="E25" s="234"/>
      <c r="F25" s="234"/>
      <c r="G25" s="234"/>
      <c r="H25" s="62"/>
      <c r="I25" s="63"/>
      <c r="J25" s="63"/>
      <c r="K25" s="36" t="s">
        <v>22</v>
      </c>
      <c r="L25" t="e">
        <f>'总表-数据收集'!#REF!</f>
        <v>#REF!</v>
      </c>
      <c r="M25" t="e">
        <f>'总表-数据收集'!#REF!</f>
        <v>#REF!</v>
      </c>
      <c r="N25" t="e">
        <f>'总表-数据收集'!#REF!</f>
        <v>#REF!</v>
      </c>
      <c r="O25" t="e">
        <f>'总表-数据收集'!#REF!</f>
        <v>#REF!</v>
      </c>
    </row>
    <row r="26" spans="1:15" s="51" customFormat="1" ht="22.05" customHeight="1">
      <c r="A26" s="238" t="str">
        <f>'总表-数据收集'!B7</f>
        <v>白云零跑</v>
      </c>
      <c r="B26" s="238"/>
      <c r="C26" s="238"/>
      <c r="D26" s="238"/>
      <c r="E26" s="238"/>
      <c r="F26" s="238"/>
      <c r="G26" s="238"/>
      <c r="H26" s="62"/>
      <c r="I26" s="55">
        <v>7</v>
      </c>
      <c r="J26" s="63"/>
      <c r="K26" s="38" t="s">
        <v>23</v>
      </c>
      <c r="L26" t="e">
        <f>'总表-数据收集'!#REF!</f>
        <v>#REF!</v>
      </c>
      <c r="M26" t="e">
        <f>'总表-数据收集'!#REF!</f>
        <v>#REF!</v>
      </c>
      <c r="N26" t="e">
        <f>'总表-数据收集'!#REF!</f>
        <v>#REF!</v>
      </c>
      <c r="O26" t="e">
        <f>'总表-数据收集'!#REF!</f>
        <v>#REF!</v>
      </c>
    </row>
    <row r="27" spans="1:15" s="51" customFormat="1" ht="22.05" customHeight="1">
      <c r="A27" s="124" t="s">
        <v>48</v>
      </c>
      <c r="B27" s="124" t="s">
        <v>49</v>
      </c>
      <c r="C27" s="124" t="s">
        <v>50</v>
      </c>
      <c r="D27" s="124" t="s">
        <v>51</v>
      </c>
      <c r="E27" s="124" t="s">
        <v>52</v>
      </c>
      <c r="F27" s="130" t="s">
        <v>53</v>
      </c>
      <c r="G27" s="130" t="s">
        <v>54</v>
      </c>
      <c r="I27" s="55"/>
      <c r="J27" s="55"/>
      <c r="K27" s="39" t="s">
        <v>24</v>
      </c>
      <c r="L27" t="e">
        <f>'总表-数据收集'!#REF!</f>
        <v>#REF!</v>
      </c>
      <c r="M27" t="e">
        <f>'总表-数据收集'!#REF!</f>
        <v>#REF!</v>
      </c>
      <c r="N27" t="e">
        <f>'总表-数据收集'!#REF!</f>
        <v>#REF!</v>
      </c>
      <c r="O27" t="e">
        <f>'总表-数据收集'!#REF!</f>
        <v>#REF!</v>
      </c>
    </row>
    <row r="28" spans="1:15" s="51" customFormat="1" ht="22.05" customHeight="1">
      <c r="A28" s="131" t="s">
        <v>56</v>
      </c>
      <c r="B28" s="131" t="e">
        <f>#REF!</f>
        <v>#REF!</v>
      </c>
      <c r="C28" s="118" t="e">
        <f>'总表-数据收集'!#REF!</f>
        <v>#REF!</v>
      </c>
      <c r="D28" s="132">
        <f>目标数据!F7</f>
        <v>80</v>
      </c>
      <c r="E28" s="133" t="e">
        <f>C28/D28</f>
        <v>#REF!</v>
      </c>
      <c r="F28" s="134" t="e">
        <f>C28-D28*E3</f>
        <v>#REF!</v>
      </c>
      <c r="G28" s="134" t="e">
        <f>C28-D28</f>
        <v>#REF!</v>
      </c>
      <c r="I28" s="55"/>
      <c r="J28" s="55"/>
      <c r="K28" s="38" t="s">
        <v>25</v>
      </c>
      <c r="L28" t="e">
        <f>'总表-数据收集'!#REF!</f>
        <v>#REF!</v>
      </c>
      <c r="M28" t="e">
        <f>'总表-数据收集'!#REF!</f>
        <v>#REF!</v>
      </c>
      <c r="N28" t="e">
        <f>'总表-数据收集'!#REF!</f>
        <v>#REF!</v>
      </c>
      <c r="O28" t="e">
        <f>'总表-数据收集'!#REF!</f>
        <v>#REF!</v>
      </c>
    </row>
    <row r="29" spans="1:15" s="51" customFormat="1" ht="19.05" customHeight="1">
      <c r="A29" s="131" t="s">
        <v>57</v>
      </c>
      <c r="B29" s="131" t="e">
        <f>#REF!</f>
        <v>#REF!</v>
      </c>
      <c r="C29" s="118" t="e">
        <f>'总表-数据收集'!#REF!</f>
        <v>#REF!</v>
      </c>
      <c r="D29" s="132">
        <f>目标数据!G7</f>
        <v>80</v>
      </c>
      <c r="E29" s="133" t="e">
        <f t="shared" ref="E29:E32" si="4">C29/D29</f>
        <v>#REF!</v>
      </c>
      <c r="F29" s="134" t="e">
        <f>C29-D29*E3</f>
        <v>#REF!</v>
      </c>
      <c r="G29" s="134" t="e">
        <f t="shared" ref="G29:G32" si="5">C29-D29</f>
        <v>#REF!</v>
      </c>
      <c r="I29" s="55"/>
      <c r="J29" s="55"/>
      <c r="K29" s="40" t="s">
        <v>26</v>
      </c>
      <c r="L29" t="e">
        <f>'总表-数据收集'!#REF!</f>
        <v>#REF!</v>
      </c>
      <c r="M29" t="e">
        <f>'总表-数据收集'!#REF!</f>
        <v>#REF!</v>
      </c>
      <c r="N29" t="e">
        <f>'总表-数据收集'!#REF!</f>
        <v>#REF!</v>
      </c>
      <c r="O29" t="e">
        <f>'总表-数据收集'!#REF!</f>
        <v>#REF!</v>
      </c>
    </row>
    <row r="30" spans="1:15" s="51" customFormat="1" ht="22.05" customHeight="1">
      <c r="A30" s="131" t="s">
        <v>58</v>
      </c>
      <c r="B30" s="131" t="e">
        <f>#REF!</f>
        <v>#REF!</v>
      </c>
      <c r="C30" s="118" t="e">
        <f>'总表-数据收集'!#REF!</f>
        <v>#REF!</v>
      </c>
      <c r="D30" s="125">
        <f>目标数据!M7</f>
        <v>600</v>
      </c>
      <c r="E30" s="133" t="e">
        <f t="shared" si="4"/>
        <v>#REF!</v>
      </c>
      <c r="F30" s="134" t="e">
        <f>C30-D30*E3</f>
        <v>#REF!</v>
      </c>
      <c r="G30" s="134" t="e">
        <f t="shared" si="5"/>
        <v>#REF!</v>
      </c>
      <c r="H30" s="64"/>
      <c r="I30" s="55"/>
      <c r="J30" s="55"/>
      <c r="K30" s="38" t="s">
        <v>27</v>
      </c>
      <c r="L30" t="e">
        <f>'总表-数据收集'!#REF!</f>
        <v>#REF!</v>
      </c>
      <c r="M30" t="e">
        <f>'总表-数据收集'!#REF!</f>
        <v>#REF!</v>
      </c>
      <c r="N30" t="e">
        <f>'总表-数据收集'!#REF!</f>
        <v>#REF!</v>
      </c>
      <c r="O30" t="e">
        <f>'总表-数据收集'!#REF!</f>
        <v>#REF!</v>
      </c>
    </row>
    <row r="31" spans="1:15" s="51" customFormat="1" ht="22.05" customHeight="1">
      <c r="A31" s="131" t="s">
        <v>59</v>
      </c>
      <c r="B31" s="131" t="e">
        <f>#REF!</f>
        <v>#REF!</v>
      </c>
      <c r="C31" s="118" t="e">
        <f>'总表-数据收集'!#REF!</f>
        <v>#REF!</v>
      </c>
      <c r="D31" s="125">
        <f>目标数据!O7</f>
        <v>60</v>
      </c>
      <c r="E31" s="135" t="e">
        <f t="shared" si="4"/>
        <v>#REF!</v>
      </c>
      <c r="F31" s="134" t="e">
        <f>C31-D31*E3</f>
        <v>#REF!</v>
      </c>
      <c r="G31" s="134" t="e">
        <f t="shared" si="5"/>
        <v>#REF!</v>
      </c>
      <c r="H31" s="58" t="s">
        <v>55</v>
      </c>
      <c r="I31" s="55"/>
      <c r="J31" s="55"/>
      <c r="K31" s="41" t="s">
        <v>28</v>
      </c>
      <c r="L31" t="e">
        <f>'总表-数据收集'!#REF!</f>
        <v>#REF!</v>
      </c>
      <c r="M31" t="e">
        <f>'总表-数据收集'!#REF!</f>
        <v>#REF!</v>
      </c>
      <c r="N31" t="e">
        <f>'总表-数据收集'!#REF!</f>
        <v>#REF!</v>
      </c>
      <c r="O31" t="e">
        <f>'总表-数据收集'!#REF!</f>
        <v>#REF!</v>
      </c>
    </row>
    <row r="32" spans="1:15" s="51" customFormat="1" ht="22.05" customHeight="1">
      <c r="A32" s="131" t="s">
        <v>60</v>
      </c>
      <c r="B32" s="131" t="e">
        <f>#REF!</f>
        <v>#REF!</v>
      </c>
      <c r="C32" s="118" t="e">
        <f>'总表-数据收集'!#REF!</f>
        <v>#REF!</v>
      </c>
      <c r="D32" s="125">
        <f>目标数据!P7</f>
        <v>15</v>
      </c>
      <c r="E32" s="133" t="e">
        <f t="shared" si="4"/>
        <v>#REF!</v>
      </c>
      <c r="F32" s="134" t="e">
        <f>C32-D32*E3</f>
        <v>#REF!</v>
      </c>
      <c r="G32" s="134" t="e">
        <f t="shared" si="5"/>
        <v>#REF!</v>
      </c>
      <c r="I32" s="55"/>
      <c r="J32" s="55"/>
      <c r="K32" s="38" t="s">
        <v>29</v>
      </c>
      <c r="L32" t="e">
        <f>'总表-数据收集'!#REF!</f>
        <v>#REF!</v>
      </c>
      <c r="M32" t="e">
        <f>'总表-数据收集'!#REF!</f>
        <v>#REF!</v>
      </c>
      <c r="N32" t="e">
        <f>'总表-数据收集'!#REF!</f>
        <v>#REF!</v>
      </c>
      <c r="O32" t="e">
        <f>'总表-数据收集'!#REF!</f>
        <v>#REF!</v>
      </c>
    </row>
    <row r="33" spans="1:15" s="51" customFormat="1" ht="22.05" customHeight="1">
      <c r="A33" s="131" t="s">
        <v>61</v>
      </c>
      <c r="B33" s="239" t="e">
        <f>'总表-数据收集'!#REF!</f>
        <v>#REF!</v>
      </c>
      <c r="C33" s="239"/>
      <c r="D33" s="239"/>
      <c r="E33" s="239"/>
      <c r="F33" s="239"/>
      <c r="G33" s="239"/>
      <c r="I33" s="55"/>
      <c r="J33" s="55"/>
      <c r="K33" s="38" t="s">
        <v>30</v>
      </c>
      <c r="L33" t="e">
        <f>'总表-数据收集'!#REF!</f>
        <v>#REF!</v>
      </c>
      <c r="M33" t="e">
        <f>'总表-数据收集'!#REF!</f>
        <v>#REF!</v>
      </c>
      <c r="N33" t="e">
        <f>'总表-数据收集'!#REF!</f>
        <v>#REF!</v>
      </c>
      <c r="O33" t="e">
        <f>'总表-数据收集'!#REF!</f>
        <v>#REF!</v>
      </c>
    </row>
    <row r="34" spans="1:15" s="51" customFormat="1" ht="22.05" customHeight="1">
      <c r="A34" s="131" t="s">
        <v>62</v>
      </c>
      <c r="B34" s="237" t="e">
        <f>'总表-数据收集'!#REF!</f>
        <v>#REF!</v>
      </c>
      <c r="C34" s="237"/>
      <c r="D34" s="237"/>
      <c r="E34" s="237"/>
      <c r="F34" s="237"/>
      <c r="G34" s="237"/>
      <c r="I34" s="55"/>
      <c r="J34" s="55"/>
      <c r="K34" s="41" t="s">
        <v>31</v>
      </c>
      <c r="L34" t="e">
        <f>'总表-数据收集'!#REF!</f>
        <v>#REF!</v>
      </c>
      <c r="M34" t="e">
        <f>'总表-数据收集'!#REF!</f>
        <v>#REF!</v>
      </c>
      <c r="N34" t="e">
        <f>'总表-数据收集'!#REF!</f>
        <v>#REF!</v>
      </c>
      <c r="O34" t="e">
        <f>'总表-数据收集'!#REF!</f>
        <v>#REF!</v>
      </c>
    </row>
    <row r="35" spans="1:15" s="51" customFormat="1" ht="22.05" hidden="1" customHeight="1">
      <c r="A35" s="55"/>
      <c r="B35" s="123"/>
      <c r="C35" s="123"/>
      <c r="D35" s="123"/>
      <c r="E35" s="123"/>
      <c r="F35" s="123"/>
      <c r="G35" s="123"/>
      <c r="I35" s="55"/>
      <c r="J35" s="55"/>
      <c r="K35" s="38" t="s">
        <v>32</v>
      </c>
      <c r="L35" t="e">
        <f>'总表-数据收集'!#REF!</f>
        <v>#REF!</v>
      </c>
      <c r="M35" t="e">
        <f>'总表-数据收集'!#REF!</f>
        <v>#REF!</v>
      </c>
      <c r="N35" t="e">
        <f>'总表-数据收集'!#REF!</f>
        <v>#REF!</v>
      </c>
      <c r="O35" t="e">
        <f>'总表-数据收集'!#REF!</f>
        <v>#REF!</v>
      </c>
    </row>
    <row r="36" spans="1:15" s="51" customFormat="1" ht="22.05" customHeight="1">
      <c r="A36" s="234"/>
      <c r="B36" s="234"/>
      <c r="C36" s="234"/>
      <c r="D36" s="234"/>
      <c r="E36" s="234"/>
      <c r="F36" s="234"/>
      <c r="G36" s="234"/>
      <c r="I36" s="55"/>
      <c r="J36" s="55"/>
      <c r="K36" s="41" t="s">
        <v>33</v>
      </c>
      <c r="L36" t="e">
        <f>'总表-数据收集'!#REF!</f>
        <v>#REF!</v>
      </c>
      <c r="M36" t="e">
        <f>'总表-数据收集'!#REF!</f>
        <v>#REF!</v>
      </c>
      <c r="N36" t="e">
        <f>'总表-数据收集'!#REF!</f>
        <v>#REF!</v>
      </c>
      <c r="O36" t="e">
        <f>'总表-数据收集'!#REF!</f>
        <v>#REF!</v>
      </c>
    </row>
    <row r="37" spans="1:15" s="51" customFormat="1" ht="22.05" customHeight="1">
      <c r="A37" s="240" t="str">
        <f>'总表-数据收集'!B8</f>
        <v>花都传祺</v>
      </c>
      <c r="B37" s="240"/>
      <c r="C37" s="240"/>
      <c r="D37" s="240"/>
      <c r="E37" s="240"/>
      <c r="F37" s="240"/>
      <c r="G37" s="240"/>
      <c r="I37" s="55">
        <v>8</v>
      </c>
      <c r="J37" s="55"/>
      <c r="K37" s="38" t="s">
        <v>34</v>
      </c>
      <c r="L37" t="e">
        <f>'总表-数据收集'!#REF!</f>
        <v>#REF!</v>
      </c>
      <c r="M37" t="e">
        <f>'总表-数据收集'!#REF!</f>
        <v>#REF!</v>
      </c>
      <c r="N37" t="e">
        <f>'总表-数据收集'!#REF!</f>
        <v>#REF!</v>
      </c>
      <c r="O37" t="e">
        <f>'总表-数据收集'!#REF!</f>
        <v>#REF!</v>
      </c>
    </row>
    <row r="38" spans="1:15" s="51" customFormat="1" ht="22.05" customHeight="1">
      <c r="A38" s="124" t="s">
        <v>48</v>
      </c>
      <c r="B38" s="124" t="s">
        <v>49</v>
      </c>
      <c r="C38" s="124" t="s">
        <v>50</v>
      </c>
      <c r="D38" s="124" t="s">
        <v>51</v>
      </c>
      <c r="E38" s="124" t="s">
        <v>52</v>
      </c>
      <c r="F38" s="130" t="s">
        <v>53</v>
      </c>
      <c r="G38" s="130" t="s">
        <v>54</v>
      </c>
      <c r="I38" s="55"/>
      <c r="J38" s="55"/>
      <c r="K38" s="41" t="s">
        <v>35</v>
      </c>
      <c r="L38" t="e">
        <f>'总表-数据收集'!#REF!</f>
        <v>#REF!</v>
      </c>
      <c r="M38" t="e">
        <f>'总表-数据收集'!#REF!</f>
        <v>#REF!</v>
      </c>
      <c r="N38" t="e">
        <f>'总表-数据收集'!#REF!</f>
        <v>#REF!</v>
      </c>
      <c r="O38" t="e">
        <f>'总表-数据收集'!#REF!</f>
        <v>#REF!</v>
      </c>
    </row>
    <row r="39" spans="1:15" s="51" customFormat="1" ht="22.05" customHeight="1">
      <c r="A39" s="136" t="s">
        <v>56</v>
      </c>
      <c r="B39" s="136" t="e">
        <f>#REF!</f>
        <v>#REF!</v>
      </c>
      <c r="C39" s="118" t="e">
        <f>'总表-数据收集'!#REF!</f>
        <v>#REF!</v>
      </c>
      <c r="D39" s="137">
        <f>目标数据!F8</f>
        <v>70</v>
      </c>
      <c r="E39" s="138" t="e">
        <f>C39/D39</f>
        <v>#REF!</v>
      </c>
      <c r="F39" s="139" t="e">
        <f>C39-D39*E3</f>
        <v>#REF!</v>
      </c>
      <c r="G39" s="139" t="e">
        <f>C39-D39</f>
        <v>#REF!</v>
      </c>
      <c r="I39" s="55"/>
      <c r="J39" s="55"/>
      <c r="K39" s="38" t="s">
        <v>36</v>
      </c>
      <c r="L39" t="e">
        <f>'总表-数据收集'!#REF!</f>
        <v>#REF!</v>
      </c>
      <c r="M39" t="e">
        <f>'总表-数据收集'!#REF!</f>
        <v>#REF!</v>
      </c>
      <c r="N39" t="e">
        <f>'总表-数据收集'!#REF!</f>
        <v>#REF!</v>
      </c>
      <c r="O39" t="e">
        <f>'总表-数据收集'!#REF!</f>
        <v>#REF!</v>
      </c>
    </row>
    <row r="40" spans="1:15" s="51" customFormat="1" ht="22.05" customHeight="1">
      <c r="A40" s="136" t="s">
        <v>57</v>
      </c>
      <c r="B40" s="136" t="e">
        <f>#REF!</f>
        <v>#REF!</v>
      </c>
      <c r="C40" s="118" t="e">
        <f>'总表-数据收集'!#REF!</f>
        <v>#REF!</v>
      </c>
      <c r="D40" s="137">
        <f>目标数据!G8</f>
        <v>70</v>
      </c>
      <c r="E40" s="138" t="e">
        <f t="shared" ref="E40:E43" si="6">C40/D40</f>
        <v>#REF!</v>
      </c>
      <c r="F40" s="139" t="e">
        <f>C40-D40*E3</f>
        <v>#REF!</v>
      </c>
      <c r="G40" s="139" t="e">
        <f t="shared" ref="G40:G43" si="7">C40-D40</f>
        <v>#REF!</v>
      </c>
      <c r="I40" s="55"/>
      <c r="J40" s="55"/>
      <c r="K40" t="s">
        <v>64</v>
      </c>
      <c r="L40" s="33" t="s">
        <v>44</v>
      </c>
      <c r="M40" s="34" t="s">
        <v>45</v>
      </c>
      <c r="N40" s="34" t="s">
        <v>46</v>
      </c>
      <c r="O40" s="34" t="s">
        <v>47</v>
      </c>
    </row>
    <row r="41" spans="1:15" s="51" customFormat="1" ht="22.05" customHeight="1">
      <c r="A41" s="136" t="s">
        <v>58</v>
      </c>
      <c r="B41" s="136" t="e">
        <f>#REF!</f>
        <v>#REF!</v>
      </c>
      <c r="C41" s="118" t="e">
        <f>'总表-数据收集'!#REF!</f>
        <v>#REF!</v>
      </c>
      <c r="D41" s="137">
        <f>目标数据!M8</f>
        <v>250</v>
      </c>
      <c r="E41" s="138" t="e">
        <f t="shared" si="6"/>
        <v>#REF!</v>
      </c>
      <c r="F41" s="139" t="e">
        <f>C41-D41*E3</f>
        <v>#REF!</v>
      </c>
      <c r="G41" s="139" t="e">
        <f t="shared" si="7"/>
        <v>#REF!</v>
      </c>
      <c r="I41" s="55"/>
      <c r="J41" s="55"/>
      <c r="K41" s="35" t="s">
        <v>20</v>
      </c>
      <c r="L41" t="e">
        <f>'总表-数据收集'!#REF!</f>
        <v>#REF!</v>
      </c>
      <c r="M41" t="e">
        <f>'总表-数据收集'!#REF!</f>
        <v>#REF!</v>
      </c>
      <c r="N41" t="e">
        <f>'总表-数据收集'!#REF!</f>
        <v>#REF!</v>
      </c>
      <c r="O41" t="e">
        <f>'总表-数据收集'!#REF!</f>
        <v>#REF!</v>
      </c>
    </row>
    <row r="42" spans="1:15" s="51" customFormat="1" ht="22.05" customHeight="1">
      <c r="A42" s="136" t="s">
        <v>59</v>
      </c>
      <c r="B42" s="136" t="e">
        <f>#REF!</f>
        <v>#REF!</v>
      </c>
      <c r="C42" s="118" t="e">
        <f>'总表-数据收集'!#REF!</f>
        <v>#REF!</v>
      </c>
      <c r="D42" s="126">
        <f>目标数据!O8</f>
        <v>30</v>
      </c>
      <c r="E42" s="140" t="e">
        <f t="shared" si="6"/>
        <v>#REF!</v>
      </c>
      <c r="F42" s="139" t="e">
        <f>C42-D42*E3</f>
        <v>#REF!</v>
      </c>
      <c r="G42" s="139" t="e">
        <f t="shared" si="7"/>
        <v>#REF!</v>
      </c>
      <c r="I42" s="55"/>
      <c r="J42" s="55"/>
      <c r="K42" s="37" t="s">
        <v>21</v>
      </c>
      <c r="L42" t="e">
        <f>'总表-数据收集'!#REF!</f>
        <v>#REF!</v>
      </c>
      <c r="M42" t="e">
        <f>'总表-数据收集'!#REF!</f>
        <v>#REF!</v>
      </c>
      <c r="N42" t="e">
        <f>'总表-数据收集'!#REF!</f>
        <v>#REF!</v>
      </c>
      <c r="O42" t="e">
        <f>'总表-数据收集'!#REF!</f>
        <v>#REF!</v>
      </c>
    </row>
    <row r="43" spans="1:15" s="51" customFormat="1" ht="22.05" customHeight="1">
      <c r="A43" s="136" t="s">
        <v>60</v>
      </c>
      <c r="B43" s="136" t="e">
        <f>#REF!</f>
        <v>#REF!</v>
      </c>
      <c r="C43" s="118" t="e">
        <f>'总表-数据收集'!#REF!</f>
        <v>#REF!</v>
      </c>
      <c r="D43" s="126">
        <f>目标数据!P8</f>
        <v>6</v>
      </c>
      <c r="E43" s="140" t="e">
        <f t="shared" si="6"/>
        <v>#REF!</v>
      </c>
      <c r="F43" s="139" t="e">
        <f>C43-D43*E3</f>
        <v>#REF!</v>
      </c>
      <c r="G43" s="139" t="e">
        <f t="shared" si="7"/>
        <v>#REF!</v>
      </c>
      <c r="I43" s="55"/>
      <c r="J43" s="55"/>
      <c r="K43" s="36" t="s">
        <v>22</v>
      </c>
      <c r="L43" t="e">
        <f>'总表-数据收集'!#REF!</f>
        <v>#REF!</v>
      </c>
      <c r="M43" t="e">
        <f>'总表-数据收集'!#REF!</f>
        <v>#REF!</v>
      </c>
      <c r="N43" t="e">
        <f>'总表-数据收集'!#REF!</f>
        <v>#REF!</v>
      </c>
      <c r="O43" t="e">
        <f>'总表-数据收集'!#REF!</f>
        <v>#REF!</v>
      </c>
    </row>
    <row r="44" spans="1:15" s="51" customFormat="1" ht="15" customHeight="1">
      <c r="A44" s="136" t="s">
        <v>61</v>
      </c>
      <c r="B44" s="241" t="e">
        <f>'总表-数据收集'!#REF!</f>
        <v>#REF!</v>
      </c>
      <c r="C44" s="241"/>
      <c r="D44" s="241"/>
      <c r="E44" s="241"/>
      <c r="F44" s="241"/>
      <c r="G44" s="241"/>
      <c r="I44" s="55"/>
      <c r="J44" s="55"/>
      <c r="K44" s="38" t="s">
        <v>23</v>
      </c>
      <c r="L44" t="e">
        <f>'总表-数据收集'!#REF!</f>
        <v>#REF!</v>
      </c>
      <c r="M44" t="e">
        <f>'总表-数据收集'!#REF!</f>
        <v>#REF!</v>
      </c>
      <c r="N44" t="e">
        <f>'总表-数据收集'!#REF!</f>
        <v>#REF!</v>
      </c>
      <c r="O44" t="e">
        <f>'总表-数据收集'!#REF!</f>
        <v>#REF!</v>
      </c>
    </row>
    <row r="45" spans="1:15" s="51" customFormat="1" ht="22.05" customHeight="1">
      <c r="A45" s="136" t="s">
        <v>62</v>
      </c>
      <c r="B45" s="237" t="e">
        <f>'总表-数据收集'!#REF!</f>
        <v>#REF!</v>
      </c>
      <c r="C45" s="237"/>
      <c r="D45" s="237"/>
      <c r="E45" s="237"/>
      <c r="F45" s="237"/>
      <c r="G45" s="237"/>
      <c r="H45" s="65"/>
      <c r="I45" s="55"/>
      <c r="J45" s="55"/>
      <c r="K45" s="39" t="s">
        <v>24</v>
      </c>
      <c r="L45" t="e">
        <f>'总表-数据收集'!#REF!</f>
        <v>#REF!</v>
      </c>
      <c r="M45" t="e">
        <f>'总表-数据收集'!#REF!</f>
        <v>#REF!</v>
      </c>
      <c r="N45" t="e">
        <f>'总表-数据收集'!#REF!</f>
        <v>#REF!</v>
      </c>
      <c r="O45" t="e">
        <f>'总表-数据收集'!#REF!</f>
        <v>#REF!</v>
      </c>
    </row>
    <row r="46" spans="1:15" s="51" customFormat="1" ht="22.05" customHeight="1">
      <c r="A46" s="242"/>
      <c r="B46" s="242"/>
      <c r="C46" s="242"/>
      <c r="D46" s="242"/>
      <c r="E46" s="242"/>
      <c r="F46" s="242"/>
      <c r="G46" s="242"/>
      <c r="H46" s="58" t="s">
        <v>55</v>
      </c>
      <c r="I46" s="55"/>
      <c r="J46" s="55"/>
      <c r="K46" s="38" t="s">
        <v>25</v>
      </c>
      <c r="L46" t="e">
        <f>'总表-数据收集'!#REF!</f>
        <v>#REF!</v>
      </c>
      <c r="M46" t="e">
        <f>'总表-数据收集'!#REF!</f>
        <v>#REF!</v>
      </c>
      <c r="N46" t="e">
        <f>'总表-数据收集'!#REF!</f>
        <v>#REF!</v>
      </c>
      <c r="O46" t="e">
        <f>'总表-数据收集'!#REF!</f>
        <v>#REF!</v>
      </c>
    </row>
    <row r="47" spans="1:15" s="51" customFormat="1" ht="22.05" customHeight="1">
      <c r="A47" s="243" t="str">
        <f>'总表-数据收集'!B9</f>
        <v>清远极氪</v>
      </c>
      <c r="B47" s="244"/>
      <c r="C47" s="244"/>
      <c r="D47" s="244"/>
      <c r="E47" s="244"/>
      <c r="F47" s="244"/>
      <c r="G47" s="244"/>
      <c r="I47" s="55">
        <v>9</v>
      </c>
      <c r="J47" s="55"/>
      <c r="K47" s="40" t="s">
        <v>26</v>
      </c>
      <c r="L47" t="e">
        <f>'总表-数据收集'!#REF!</f>
        <v>#REF!</v>
      </c>
      <c r="M47" t="e">
        <f>'总表-数据收集'!#REF!</f>
        <v>#REF!</v>
      </c>
      <c r="N47" t="e">
        <f>'总表-数据收集'!#REF!</f>
        <v>#REF!</v>
      </c>
      <c r="O47" t="e">
        <f>'总表-数据收集'!#REF!</f>
        <v>#REF!</v>
      </c>
    </row>
    <row r="48" spans="1:15" s="51" customFormat="1" ht="22.05" customHeight="1">
      <c r="A48" s="141" t="s">
        <v>48</v>
      </c>
      <c r="B48" s="141" t="s">
        <v>49</v>
      </c>
      <c r="C48" s="141" t="s">
        <v>50</v>
      </c>
      <c r="D48" s="141" t="s">
        <v>51</v>
      </c>
      <c r="E48" s="141" t="s">
        <v>52</v>
      </c>
      <c r="F48" s="142" t="s">
        <v>53</v>
      </c>
      <c r="G48" s="142" t="s">
        <v>54</v>
      </c>
      <c r="I48" s="55"/>
      <c r="J48" s="55"/>
      <c r="K48" s="38" t="s">
        <v>27</v>
      </c>
      <c r="L48" t="e">
        <f>'总表-数据收集'!#REF!</f>
        <v>#REF!</v>
      </c>
      <c r="M48" t="e">
        <f>'总表-数据收集'!#REF!</f>
        <v>#REF!</v>
      </c>
      <c r="N48" t="e">
        <f>'总表-数据收集'!#REF!</f>
        <v>#REF!</v>
      </c>
      <c r="O48" t="e">
        <f>'总表-数据收集'!#REF!</f>
        <v>#REF!</v>
      </c>
    </row>
    <row r="49" spans="1:15" s="51" customFormat="1" ht="22.05" customHeight="1">
      <c r="A49" s="132" t="s">
        <v>56</v>
      </c>
      <c r="B49" s="132" t="e">
        <f>#REF!</f>
        <v>#REF!</v>
      </c>
      <c r="C49" s="118" t="e">
        <f>'总表-数据收集'!#REF!</f>
        <v>#REF!</v>
      </c>
      <c r="D49" s="132">
        <f>目标数据!F9</f>
        <v>90</v>
      </c>
      <c r="E49" s="143" t="e">
        <f>C49/D49</f>
        <v>#REF!</v>
      </c>
      <c r="F49" s="144" t="e">
        <f>C49-D49*E3</f>
        <v>#REF!</v>
      </c>
      <c r="G49" s="144" t="e">
        <f>C49-D49</f>
        <v>#REF!</v>
      </c>
      <c r="I49" s="55"/>
      <c r="J49" s="55"/>
      <c r="K49" s="41" t="s">
        <v>28</v>
      </c>
      <c r="L49" t="e">
        <f>'总表-数据收集'!#REF!</f>
        <v>#REF!</v>
      </c>
      <c r="M49" t="e">
        <f>'总表-数据收集'!#REF!</f>
        <v>#REF!</v>
      </c>
      <c r="N49" t="e">
        <f>'总表-数据收集'!#REF!</f>
        <v>#REF!</v>
      </c>
      <c r="O49" t="e">
        <f>'总表-数据收集'!#REF!</f>
        <v>#REF!</v>
      </c>
    </row>
    <row r="50" spans="1:15" s="51" customFormat="1" ht="22.05" customHeight="1">
      <c r="A50" s="132" t="s">
        <v>57</v>
      </c>
      <c r="B50" s="132" t="e">
        <f>#REF!</f>
        <v>#REF!</v>
      </c>
      <c r="C50" s="118" t="e">
        <f>'总表-数据收集'!#REF!</f>
        <v>#REF!</v>
      </c>
      <c r="D50" s="132">
        <f>目标数据!G9</f>
        <v>60</v>
      </c>
      <c r="E50" s="145" t="e">
        <f t="shared" ref="E50:E53" si="8">C50/D50</f>
        <v>#REF!</v>
      </c>
      <c r="F50" s="144" t="e">
        <f>C50-D50*E3</f>
        <v>#REF!</v>
      </c>
      <c r="G50" s="144" t="e">
        <f t="shared" ref="G50:G53" si="9">C50-D50</f>
        <v>#REF!</v>
      </c>
      <c r="I50" s="55"/>
      <c r="J50" s="55"/>
      <c r="K50" s="38" t="s">
        <v>29</v>
      </c>
      <c r="L50" t="e">
        <f>'总表-数据收集'!#REF!</f>
        <v>#REF!</v>
      </c>
      <c r="M50" t="e">
        <f>'总表-数据收集'!#REF!</f>
        <v>#REF!</v>
      </c>
      <c r="N50" t="e">
        <f>'总表-数据收集'!#REF!</f>
        <v>#REF!</v>
      </c>
      <c r="O50" t="e">
        <f>'总表-数据收集'!#REF!</f>
        <v>#REF!</v>
      </c>
    </row>
    <row r="51" spans="1:15" s="51" customFormat="1" ht="22.05" customHeight="1">
      <c r="A51" s="132" t="s">
        <v>58</v>
      </c>
      <c r="B51" s="132" t="e">
        <f>#REF!</f>
        <v>#REF!</v>
      </c>
      <c r="C51" s="118" t="e">
        <f>'总表-数据收集'!#REF!</f>
        <v>#REF!</v>
      </c>
      <c r="D51" s="132">
        <f>目标数据!M9</f>
        <v>450</v>
      </c>
      <c r="E51" s="145" t="e">
        <f t="shared" si="8"/>
        <v>#REF!</v>
      </c>
      <c r="F51" s="144" t="e">
        <f>C51-D51*E3</f>
        <v>#REF!</v>
      </c>
      <c r="G51" s="144" t="e">
        <f t="shared" si="9"/>
        <v>#REF!</v>
      </c>
      <c r="I51" s="55"/>
      <c r="J51" s="55"/>
      <c r="K51" s="41" t="s">
        <v>30</v>
      </c>
      <c r="L51" t="e">
        <f>'总表-数据收集'!#REF!</f>
        <v>#REF!</v>
      </c>
      <c r="M51" t="e">
        <f>'总表-数据收集'!#REF!</f>
        <v>#REF!</v>
      </c>
      <c r="N51" t="e">
        <f>'总表-数据收集'!#REF!</f>
        <v>#REF!</v>
      </c>
      <c r="O51" t="e">
        <f>'总表-数据收集'!#REF!</f>
        <v>#REF!</v>
      </c>
    </row>
    <row r="52" spans="1:15" s="51" customFormat="1" ht="22.05" customHeight="1">
      <c r="A52" s="132" t="s">
        <v>59</v>
      </c>
      <c r="B52" s="132" t="e">
        <f>#REF!</f>
        <v>#REF!</v>
      </c>
      <c r="C52" s="118" t="e">
        <f>'总表-数据收集'!#REF!</f>
        <v>#REF!</v>
      </c>
      <c r="D52" s="132">
        <f>目标数据!O9</f>
        <v>40</v>
      </c>
      <c r="E52" s="145" t="e">
        <f t="shared" si="8"/>
        <v>#REF!</v>
      </c>
      <c r="F52" s="144" t="e">
        <f>C52-D52*E3</f>
        <v>#REF!</v>
      </c>
      <c r="G52" s="144" t="e">
        <f t="shared" si="9"/>
        <v>#REF!</v>
      </c>
      <c r="I52" s="55"/>
      <c r="J52" s="55"/>
      <c r="K52" s="38" t="s">
        <v>31</v>
      </c>
      <c r="L52" t="e">
        <f>'总表-数据收集'!#REF!</f>
        <v>#REF!</v>
      </c>
      <c r="M52" t="e">
        <f>'总表-数据收集'!#REF!</f>
        <v>#REF!</v>
      </c>
      <c r="N52" t="e">
        <f>'总表-数据收集'!#REF!</f>
        <v>#REF!</v>
      </c>
      <c r="O52" t="e">
        <f>'总表-数据收集'!#REF!</f>
        <v>#REF!</v>
      </c>
    </row>
    <row r="53" spans="1:15" s="51" customFormat="1" ht="22.05" customHeight="1">
      <c r="A53" s="132" t="s">
        <v>60</v>
      </c>
      <c r="B53" s="132" t="e">
        <f>#REF!</f>
        <v>#REF!</v>
      </c>
      <c r="C53" s="118" t="e">
        <f>'总表-数据收集'!#REF!</f>
        <v>#REF!</v>
      </c>
      <c r="D53" s="132">
        <f>目标数据!P9</f>
        <v>5</v>
      </c>
      <c r="E53" s="143" t="e">
        <f t="shared" si="8"/>
        <v>#REF!</v>
      </c>
      <c r="F53" s="144" t="e">
        <f>C53-D53*E3</f>
        <v>#REF!</v>
      </c>
      <c r="G53" s="144" t="e">
        <f t="shared" si="9"/>
        <v>#REF!</v>
      </c>
      <c r="I53" s="55"/>
      <c r="J53" s="55"/>
      <c r="K53" s="41" t="s">
        <v>32</v>
      </c>
      <c r="L53" t="e">
        <f>'总表-数据收集'!#REF!</f>
        <v>#REF!</v>
      </c>
      <c r="M53" t="e">
        <f>'总表-数据收集'!#REF!</f>
        <v>#REF!</v>
      </c>
      <c r="N53" t="e">
        <f>'总表-数据收集'!#REF!</f>
        <v>#REF!</v>
      </c>
      <c r="O53" t="e">
        <f>'总表-数据收集'!#REF!</f>
        <v>#REF!</v>
      </c>
    </row>
    <row r="54" spans="1:15" s="51" customFormat="1" ht="18.399999999999999">
      <c r="A54" s="132" t="s">
        <v>61</v>
      </c>
      <c r="B54" s="241" t="e">
        <f>'总表-数据收集'!#REF!</f>
        <v>#REF!</v>
      </c>
      <c r="C54" s="241"/>
      <c r="D54" s="241"/>
      <c r="E54" s="241"/>
      <c r="F54" s="241"/>
      <c r="G54" s="241"/>
      <c r="I54" s="55"/>
      <c r="J54" s="55"/>
      <c r="K54" s="38" t="s">
        <v>33</v>
      </c>
      <c r="L54" t="e">
        <f>'总表-数据收集'!#REF!</f>
        <v>#REF!</v>
      </c>
      <c r="M54" t="e">
        <f>'总表-数据收集'!#REF!</f>
        <v>#REF!</v>
      </c>
      <c r="N54" t="e">
        <f>'总表-数据收集'!#REF!</f>
        <v>#REF!</v>
      </c>
      <c r="O54" t="e">
        <f>'总表-数据收集'!#REF!</f>
        <v>#REF!</v>
      </c>
    </row>
    <row r="55" spans="1:15" s="51" customFormat="1" ht="22.05" customHeight="1">
      <c r="A55" s="132" t="s">
        <v>62</v>
      </c>
      <c r="B55" s="245" t="e">
        <f>'总表-数据收集'!#REF!</f>
        <v>#REF!</v>
      </c>
      <c r="C55" s="246"/>
      <c r="D55" s="246"/>
      <c r="E55" s="246"/>
      <c r="F55" s="246"/>
      <c r="G55" s="246"/>
      <c r="H55" s="66"/>
      <c r="I55" s="55"/>
      <c r="J55" s="55"/>
      <c r="K55" s="41" t="s">
        <v>34</v>
      </c>
      <c r="L55" t="e">
        <f>'总表-数据收集'!#REF!</f>
        <v>#REF!</v>
      </c>
      <c r="M55" t="e">
        <f>'总表-数据收集'!#REF!</f>
        <v>#REF!</v>
      </c>
      <c r="N55" t="e">
        <f>'总表-数据收集'!#REF!</f>
        <v>#REF!</v>
      </c>
      <c r="O55" t="e">
        <f>'总表-数据收集'!#REF!</f>
        <v>#REF!</v>
      </c>
    </row>
    <row r="56" spans="1:15" s="51" customFormat="1" ht="22.05" customHeight="1">
      <c r="A56" s="247"/>
      <c r="B56" s="247"/>
      <c r="C56" s="247"/>
      <c r="D56" s="247"/>
      <c r="E56" s="247"/>
      <c r="F56" s="247"/>
      <c r="G56" s="247"/>
      <c r="H56" s="58" t="s">
        <v>55</v>
      </c>
      <c r="I56" s="55"/>
      <c r="J56" s="55"/>
      <c r="K56" s="38" t="s">
        <v>35</v>
      </c>
      <c r="L56" t="e">
        <f>'总表-数据收集'!#REF!</f>
        <v>#REF!</v>
      </c>
      <c r="M56" t="e">
        <f>'总表-数据收集'!#REF!</f>
        <v>#REF!</v>
      </c>
      <c r="N56" t="e">
        <f>'总表-数据收集'!#REF!</f>
        <v>#REF!</v>
      </c>
      <c r="O56" t="e">
        <f>'总表-数据收集'!#REF!</f>
        <v>#REF!</v>
      </c>
    </row>
    <row r="57" spans="1:15" s="51" customFormat="1" ht="22.05" customHeight="1">
      <c r="A57" s="248" t="str">
        <f>'总表-数据收集'!B10</f>
        <v>清远广本</v>
      </c>
      <c r="B57" s="235"/>
      <c r="C57" s="235"/>
      <c r="D57" s="235"/>
      <c r="E57" s="235"/>
      <c r="F57" s="235"/>
      <c r="G57" s="235"/>
      <c r="I57" s="55">
        <v>10</v>
      </c>
      <c r="J57" s="55"/>
      <c r="K57" s="55" t="s">
        <v>36</v>
      </c>
      <c r="L57" t="e">
        <f>'总表-数据收集'!#REF!</f>
        <v>#REF!</v>
      </c>
      <c r="M57" t="e">
        <f>'总表-数据收集'!#REF!</f>
        <v>#REF!</v>
      </c>
      <c r="N57" t="e">
        <f>'总表-数据收集'!#REF!</f>
        <v>#REF!</v>
      </c>
      <c r="O57" t="e">
        <f>'总表-数据收集'!#REF!</f>
        <v>#REF!</v>
      </c>
    </row>
    <row r="58" spans="1:15" s="51" customFormat="1" ht="22.05" customHeight="1">
      <c r="A58" s="146" t="s">
        <v>48</v>
      </c>
      <c r="B58" s="146" t="s">
        <v>49</v>
      </c>
      <c r="C58" s="146" t="s">
        <v>50</v>
      </c>
      <c r="D58" s="146" t="s">
        <v>51</v>
      </c>
      <c r="E58" s="146" t="s">
        <v>52</v>
      </c>
      <c r="F58" s="147" t="s">
        <v>53</v>
      </c>
      <c r="G58" s="147" t="s">
        <v>54</v>
      </c>
      <c r="I58" s="55"/>
      <c r="J58" s="55"/>
      <c r="K58" s="55"/>
      <c r="L58" s="55"/>
    </row>
    <row r="59" spans="1:15" s="51" customFormat="1" ht="22.05" customHeight="1">
      <c r="A59" s="125" t="s">
        <v>56</v>
      </c>
      <c r="B59" s="125" t="e">
        <f>#REF!</f>
        <v>#REF!</v>
      </c>
      <c r="C59" s="118" t="e">
        <f>'总表-数据收集'!#REF!</f>
        <v>#REF!</v>
      </c>
      <c r="D59" s="125">
        <f>目标数据!F10</f>
        <v>70</v>
      </c>
      <c r="E59" s="127" t="e">
        <f>C59/D59</f>
        <v>#REF!</v>
      </c>
      <c r="F59" s="62" t="e">
        <f>C59-D59*E3</f>
        <v>#REF!</v>
      </c>
      <c r="G59" s="62" t="e">
        <f>C59-D59</f>
        <v>#REF!</v>
      </c>
      <c r="I59" s="55"/>
      <c r="J59" s="55"/>
      <c r="K59" s="55"/>
      <c r="L59" s="55"/>
    </row>
    <row r="60" spans="1:15" s="51" customFormat="1" ht="22.05" customHeight="1">
      <c r="A60" s="125" t="s">
        <v>57</v>
      </c>
      <c r="B60" s="125" t="e">
        <f>#REF!</f>
        <v>#REF!</v>
      </c>
      <c r="C60" s="118" t="e">
        <f>'总表-数据收集'!#REF!</f>
        <v>#REF!</v>
      </c>
      <c r="D60" s="125">
        <f>目标数据!G10</f>
        <v>70</v>
      </c>
      <c r="E60" s="127" t="e">
        <f t="shared" ref="E60:E63" si="10">C60/D60</f>
        <v>#REF!</v>
      </c>
      <c r="F60" s="62" t="e">
        <f>C60-D60*E3</f>
        <v>#REF!</v>
      </c>
      <c r="G60" s="62" t="e">
        <f t="shared" ref="G60:G63" si="11">C60-D60</f>
        <v>#REF!</v>
      </c>
      <c r="I60" s="55"/>
      <c r="J60" s="55"/>
      <c r="K60" s="55"/>
      <c r="L60" s="55"/>
    </row>
    <row r="61" spans="1:15" s="51" customFormat="1" ht="22.05" customHeight="1">
      <c r="A61" s="125" t="s">
        <v>58</v>
      </c>
      <c r="B61" s="125" t="e">
        <f>#REF!</f>
        <v>#REF!</v>
      </c>
      <c r="C61" s="118" t="e">
        <f>'总表-数据收集'!#REF!</f>
        <v>#REF!</v>
      </c>
      <c r="D61" s="125">
        <f>目标数据!M10</f>
        <v>350</v>
      </c>
      <c r="E61" s="127" t="e">
        <f t="shared" si="10"/>
        <v>#REF!</v>
      </c>
      <c r="F61" s="62" t="e">
        <f>C61-D61*E3</f>
        <v>#REF!</v>
      </c>
      <c r="G61" s="62" t="e">
        <f t="shared" si="11"/>
        <v>#REF!</v>
      </c>
      <c r="I61" s="55"/>
      <c r="J61" s="55"/>
      <c r="K61" s="55"/>
      <c r="L61" s="55"/>
    </row>
    <row r="62" spans="1:15" s="51" customFormat="1" ht="22.05" customHeight="1">
      <c r="A62" s="125" t="s">
        <v>59</v>
      </c>
      <c r="B62" s="125" t="e">
        <f>#REF!</f>
        <v>#REF!</v>
      </c>
      <c r="C62" s="118" t="e">
        <f>'总表-数据收集'!#REF!</f>
        <v>#REF!</v>
      </c>
      <c r="D62" s="125">
        <f>目标数据!O10</f>
        <v>30</v>
      </c>
      <c r="E62" s="127" t="e">
        <f t="shared" si="10"/>
        <v>#REF!</v>
      </c>
      <c r="F62" s="62" t="e">
        <f>C62-D62*E3</f>
        <v>#REF!</v>
      </c>
      <c r="G62" s="62" t="e">
        <f t="shared" si="11"/>
        <v>#REF!</v>
      </c>
      <c r="I62" s="55"/>
      <c r="J62" s="55"/>
      <c r="K62" s="55"/>
      <c r="L62" s="55"/>
    </row>
    <row r="63" spans="1:15" s="51" customFormat="1" ht="18" customHeight="1">
      <c r="A63" s="125" t="s">
        <v>60</v>
      </c>
      <c r="B63" s="125" t="e">
        <f>#REF!</f>
        <v>#REF!</v>
      </c>
      <c r="C63" s="118" t="e">
        <f>'总表-数据收集'!#REF!</f>
        <v>#REF!</v>
      </c>
      <c r="D63" s="125">
        <f>目标数据!P10</f>
        <v>8</v>
      </c>
      <c r="E63" s="127" t="e">
        <f t="shared" si="10"/>
        <v>#REF!</v>
      </c>
      <c r="F63" s="62" t="e">
        <f>C63-D63*E3</f>
        <v>#REF!</v>
      </c>
      <c r="G63" s="62" t="e">
        <f t="shared" si="11"/>
        <v>#REF!</v>
      </c>
      <c r="I63" s="55"/>
      <c r="J63" s="55"/>
      <c r="K63" s="55"/>
      <c r="L63" s="55"/>
    </row>
    <row r="64" spans="1:15" s="51" customFormat="1" ht="20" customHeight="1">
      <c r="A64" s="125" t="s">
        <v>61</v>
      </c>
      <c r="B64" s="236" t="e">
        <f>'总表-数据收集'!#REF!</f>
        <v>#REF!</v>
      </c>
      <c r="C64" s="236"/>
      <c r="D64" s="236"/>
      <c r="E64" s="236"/>
      <c r="F64" s="236"/>
      <c r="G64" s="236"/>
      <c r="I64" s="55"/>
      <c r="J64" s="55"/>
      <c r="K64" s="55"/>
      <c r="L64" s="55"/>
    </row>
    <row r="65" spans="1:12" s="51" customFormat="1" ht="16.899999999999999">
      <c r="A65" s="125" t="s">
        <v>62</v>
      </c>
      <c r="B65" s="237" t="e">
        <f>'总表-数据收集'!#REF!</f>
        <v>#REF!</v>
      </c>
      <c r="C65" s="237"/>
      <c r="D65" s="237"/>
      <c r="E65" s="237"/>
      <c r="F65" s="237"/>
      <c r="G65" s="237"/>
      <c r="H65" s="60"/>
      <c r="I65" s="55"/>
      <c r="J65" s="55"/>
      <c r="K65" s="55"/>
      <c r="L65" s="55"/>
    </row>
    <row r="66" spans="1:12" s="51" customFormat="1" ht="22.05" customHeight="1">
      <c r="A66" s="234"/>
      <c r="B66" s="234"/>
      <c r="C66" s="234"/>
      <c r="D66" s="234"/>
      <c r="E66" s="234"/>
      <c r="F66" s="234"/>
      <c r="G66" s="234"/>
      <c r="H66" s="58" t="s">
        <v>55</v>
      </c>
      <c r="I66" s="55"/>
      <c r="J66" s="55"/>
      <c r="K66" s="55"/>
      <c r="L66" s="55"/>
    </row>
    <row r="67" spans="1:12" s="51" customFormat="1" ht="22.05" customHeight="1">
      <c r="A67" s="238" t="str">
        <f>'总表-数据收集'!B11</f>
        <v>鑫海广本</v>
      </c>
      <c r="B67" s="238"/>
      <c r="C67" s="238"/>
      <c r="D67" s="238"/>
      <c r="E67" s="238"/>
      <c r="F67" s="238"/>
      <c r="G67" s="238"/>
      <c r="I67" s="55">
        <v>11</v>
      </c>
      <c r="J67" s="55"/>
      <c r="K67" s="55"/>
      <c r="L67" s="55"/>
    </row>
    <row r="68" spans="1:12" s="51" customFormat="1" ht="22.05" customHeight="1">
      <c r="A68" s="148" t="s">
        <v>48</v>
      </c>
      <c r="B68" s="149" t="s">
        <v>49</v>
      </c>
      <c r="C68" s="149" t="s">
        <v>50</v>
      </c>
      <c r="D68" s="149" t="s">
        <v>51</v>
      </c>
      <c r="E68" s="149" t="s">
        <v>52</v>
      </c>
      <c r="F68" s="150" t="s">
        <v>53</v>
      </c>
      <c r="G68" s="150" t="s">
        <v>54</v>
      </c>
      <c r="I68" s="55"/>
      <c r="J68" s="55"/>
      <c r="K68" s="55"/>
      <c r="L68" s="55"/>
    </row>
    <row r="69" spans="1:12" s="51" customFormat="1" ht="22.05" customHeight="1">
      <c r="A69" s="131" t="s">
        <v>56</v>
      </c>
      <c r="B69" s="131" t="e">
        <f>#REF!</f>
        <v>#REF!</v>
      </c>
      <c r="C69" s="118" t="e">
        <f>'总表-数据收集'!#REF!</f>
        <v>#REF!</v>
      </c>
      <c r="D69" s="131">
        <f>目标数据!F11</f>
        <v>80</v>
      </c>
      <c r="E69" s="135" t="e">
        <f>C69/D69</f>
        <v>#REF!</v>
      </c>
      <c r="F69" s="134" t="e">
        <f>C69-D69*E3</f>
        <v>#REF!</v>
      </c>
      <c r="G69" s="134" t="e">
        <f>C69-D69</f>
        <v>#REF!</v>
      </c>
      <c r="I69" s="55"/>
      <c r="J69" s="55"/>
      <c r="K69" s="55"/>
      <c r="L69" s="55"/>
    </row>
    <row r="70" spans="1:12" s="51" customFormat="1" ht="22.05" customHeight="1">
      <c r="A70" s="131" t="s">
        <v>57</v>
      </c>
      <c r="B70" s="131" t="e">
        <f>#REF!</f>
        <v>#REF!</v>
      </c>
      <c r="C70" s="118" t="e">
        <f>'总表-数据收集'!#REF!</f>
        <v>#REF!</v>
      </c>
      <c r="D70" s="131">
        <f>目标数据!G11</f>
        <v>60</v>
      </c>
      <c r="E70" s="135" t="e">
        <f t="shared" ref="E70:E73" si="12">C70/D70</f>
        <v>#REF!</v>
      </c>
      <c r="F70" s="134" t="e">
        <f>C70-D70*E3</f>
        <v>#REF!</v>
      </c>
      <c r="G70" s="134" t="e">
        <f t="shared" ref="G70:G73" si="13">C70-D70</f>
        <v>#REF!</v>
      </c>
      <c r="I70" s="55"/>
      <c r="J70" s="55"/>
      <c r="K70" s="55"/>
      <c r="L70" s="55"/>
    </row>
    <row r="71" spans="1:12" s="51" customFormat="1" ht="22.05" customHeight="1">
      <c r="A71" s="131" t="s">
        <v>58</v>
      </c>
      <c r="B71" s="131" t="e">
        <f>#REF!</f>
        <v>#REF!</v>
      </c>
      <c r="C71" s="118" t="e">
        <f>'总表-数据收集'!#REF!</f>
        <v>#REF!</v>
      </c>
      <c r="D71" s="131">
        <f>目标数据!M11</f>
        <v>510</v>
      </c>
      <c r="E71" s="135" t="e">
        <f t="shared" si="12"/>
        <v>#REF!</v>
      </c>
      <c r="F71" s="134" t="e">
        <f>C71-D71*E3</f>
        <v>#REF!</v>
      </c>
      <c r="G71" s="134" t="e">
        <f t="shared" si="13"/>
        <v>#REF!</v>
      </c>
      <c r="I71" s="55"/>
      <c r="J71" s="55"/>
      <c r="K71" s="55"/>
      <c r="L71" s="55"/>
    </row>
    <row r="72" spans="1:12" s="51" customFormat="1" ht="22.05" customHeight="1">
      <c r="A72" s="131" t="s">
        <v>59</v>
      </c>
      <c r="B72" s="131" t="e">
        <f>#REF!</f>
        <v>#REF!</v>
      </c>
      <c r="C72" s="118" t="e">
        <f>'总表-数据收集'!#REF!</f>
        <v>#REF!</v>
      </c>
      <c r="D72" s="131">
        <f>目标数据!O11</f>
        <v>45</v>
      </c>
      <c r="E72" s="133" t="e">
        <f t="shared" si="12"/>
        <v>#REF!</v>
      </c>
      <c r="F72" s="134" t="e">
        <f>C72-D72*E3</f>
        <v>#REF!</v>
      </c>
      <c r="G72" s="134" t="e">
        <f t="shared" si="13"/>
        <v>#REF!</v>
      </c>
      <c r="I72" s="55"/>
      <c r="J72" s="55"/>
      <c r="K72" s="55"/>
      <c r="L72" s="55"/>
    </row>
    <row r="73" spans="1:12" s="51" customFormat="1" ht="22.05" customHeight="1">
      <c r="A73" s="131" t="s">
        <v>60</v>
      </c>
      <c r="B73" s="131" t="e">
        <f>#REF!</f>
        <v>#REF!</v>
      </c>
      <c r="C73" s="118" t="e">
        <f>'总表-数据收集'!#REF!</f>
        <v>#REF!</v>
      </c>
      <c r="D73" s="131">
        <f>目标数据!P11</f>
        <v>15</v>
      </c>
      <c r="E73" s="135" t="e">
        <f t="shared" si="12"/>
        <v>#REF!</v>
      </c>
      <c r="F73" s="134" t="e">
        <f>C73-D73*E3</f>
        <v>#REF!</v>
      </c>
      <c r="G73" s="134" t="e">
        <f t="shared" si="13"/>
        <v>#REF!</v>
      </c>
      <c r="I73" s="55"/>
      <c r="J73" s="55"/>
      <c r="K73" s="55"/>
      <c r="L73" s="55"/>
    </row>
    <row r="74" spans="1:12" s="51" customFormat="1" ht="20" customHeight="1">
      <c r="A74" s="131" t="s">
        <v>61</v>
      </c>
      <c r="B74" s="249" t="e">
        <f>'总表-数据收集'!#REF!</f>
        <v>#REF!</v>
      </c>
      <c r="C74" s="249"/>
      <c r="D74" s="249"/>
      <c r="E74" s="249"/>
      <c r="F74" s="249"/>
      <c r="G74" s="249"/>
      <c r="I74" s="55"/>
      <c r="J74" s="55"/>
      <c r="K74" s="55"/>
      <c r="L74" s="55"/>
    </row>
    <row r="75" spans="1:12" s="51" customFormat="1" ht="22.05" customHeight="1">
      <c r="A75" s="131" t="s">
        <v>62</v>
      </c>
      <c r="B75" s="250" t="e">
        <f>'总表-数据收集'!#REF!</f>
        <v>#REF!</v>
      </c>
      <c r="C75" s="250"/>
      <c r="D75" s="250"/>
      <c r="E75" s="250"/>
      <c r="F75" s="250"/>
      <c r="G75" s="250"/>
      <c r="H75" s="64"/>
      <c r="I75" s="55"/>
      <c r="J75" s="55"/>
      <c r="K75" s="55"/>
      <c r="L75" s="55"/>
    </row>
    <row r="76" spans="1:12" s="51" customFormat="1" ht="22.05" customHeight="1">
      <c r="A76" s="234"/>
      <c r="B76" s="234"/>
      <c r="C76" s="234"/>
      <c r="D76" s="234"/>
      <c r="E76" s="234"/>
      <c r="F76" s="234"/>
      <c r="G76" s="234"/>
      <c r="H76" s="58" t="s">
        <v>55</v>
      </c>
      <c r="I76" s="55"/>
      <c r="J76" s="55"/>
      <c r="K76" s="55"/>
      <c r="L76" s="55"/>
    </row>
    <row r="77" spans="1:12" s="51" customFormat="1" ht="22.05" customHeight="1">
      <c r="A77" s="240" t="str">
        <f>'总表-数据收集'!B12</f>
        <v>汕头广本</v>
      </c>
      <c r="B77" s="240"/>
      <c r="C77" s="240"/>
      <c r="D77" s="240"/>
      <c r="E77" s="240"/>
      <c r="F77" s="240"/>
      <c r="G77" s="240"/>
      <c r="I77" s="55">
        <v>12</v>
      </c>
      <c r="J77" s="55"/>
      <c r="K77" s="55"/>
      <c r="L77" s="55"/>
    </row>
    <row r="78" spans="1:12" s="51" customFormat="1" ht="22.05" customHeight="1">
      <c r="A78" s="124" t="s">
        <v>48</v>
      </c>
      <c r="B78" s="124" t="s">
        <v>49</v>
      </c>
      <c r="C78" s="124" t="s">
        <v>50</v>
      </c>
      <c r="D78" s="124" t="s">
        <v>51</v>
      </c>
      <c r="E78" s="124" t="s">
        <v>52</v>
      </c>
      <c r="F78" s="130" t="s">
        <v>53</v>
      </c>
      <c r="G78" s="130" t="s">
        <v>54</v>
      </c>
      <c r="I78" s="55"/>
      <c r="J78" s="55"/>
      <c r="K78" s="55"/>
      <c r="L78" s="55"/>
    </row>
    <row r="79" spans="1:12" s="51" customFormat="1" ht="22.05" customHeight="1">
      <c r="A79" s="136" t="s">
        <v>56</v>
      </c>
      <c r="B79" s="136" t="e">
        <f>#REF!</f>
        <v>#REF!</v>
      </c>
      <c r="C79" s="118" t="e">
        <f>'总表-数据收集'!#REF!</f>
        <v>#REF!</v>
      </c>
      <c r="D79" s="136">
        <f>目标数据!F12</f>
        <v>50</v>
      </c>
      <c r="E79" s="140" t="e">
        <f>C79/D79</f>
        <v>#REF!</v>
      </c>
      <c r="F79" s="139" t="e">
        <f>C79-D79*E3</f>
        <v>#REF!</v>
      </c>
      <c r="G79" s="139" t="e">
        <f>C79-D79</f>
        <v>#REF!</v>
      </c>
      <c r="I79" s="55"/>
      <c r="J79" s="55"/>
      <c r="K79" s="55"/>
      <c r="L79" s="55"/>
    </row>
    <row r="80" spans="1:12" s="51" customFormat="1" ht="22.05" customHeight="1">
      <c r="A80" s="136" t="s">
        <v>57</v>
      </c>
      <c r="B80" s="136" t="e">
        <f>#REF!</f>
        <v>#REF!</v>
      </c>
      <c r="C80" s="118" t="e">
        <f>'总表-数据收集'!#REF!</f>
        <v>#REF!</v>
      </c>
      <c r="D80" s="136">
        <f>目标数据!G12</f>
        <v>80</v>
      </c>
      <c r="E80" s="140" t="e">
        <f t="shared" ref="E80:E83" si="14">C80/D80</f>
        <v>#REF!</v>
      </c>
      <c r="F80" s="139" t="e">
        <f>C80-D80*E3</f>
        <v>#REF!</v>
      </c>
      <c r="G80" s="139" t="e">
        <f t="shared" ref="G80:G83" si="15">C80-D80</f>
        <v>#REF!</v>
      </c>
      <c r="I80" s="55"/>
      <c r="J80" s="55"/>
      <c r="K80" s="55"/>
      <c r="L80" s="55"/>
    </row>
    <row r="81" spans="1:12" s="51" customFormat="1" ht="22.05" customHeight="1">
      <c r="A81" s="136" t="s">
        <v>58</v>
      </c>
      <c r="B81" s="136" t="e">
        <f>#REF!</f>
        <v>#REF!</v>
      </c>
      <c r="C81" s="118" t="e">
        <f>'总表-数据收集'!#REF!</f>
        <v>#REF!</v>
      </c>
      <c r="D81" s="136">
        <f>目标数据!M12</f>
        <v>700</v>
      </c>
      <c r="E81" s="140" t="e">
        <f t="shared" si="14"/>
        <v>#REF!</v>
      </c>
      <c r="F81" s="139" t="e">
        <f>C81-D81*E3</f>
        <v>#REF!</v>
      </c>
      <c r="G81" s="139" t="e">
        <f t="shared" si="15"/>
        <v>#REF!</v>
      </c>
      <c r="I81" s="55"/>
      <c r="J81" s="55"/>
      <c r="K81" s="55"/>
      <c r="L81" s="55"/>
    </row>
    <row r="82" spans="1:12" s="51" customFormat="1" ht="22.05" customHeight="1">
      <c r="A82" s="136" t="s">
        <v>59</v>
      </c>
      <c r="B82" s="136" t="e">
        <f>#REF!</f>
        <v>#REF!</v>
      </c>
      <c r="C82" s="118" t="e">
        <f>'总表-数据收集'!#REF!</f>
        <v>#REF!</v>
      </c>
      <c r="D82" s="136">
        <f>目标数据!O12</f>
        <v>40</v>
      </c>
      <c r="E82" s="140" t="e">
        <f t="shared" si="14"/>
        <v>#REF!</v>
      </c>
      <c r="F82" s="139" t="e">
        <f>C82-D82*E3</f>
        <v>#REF!</v>
      </c>
      <c r="G82" s="139" t="e">
        <f t="shared" si="15"/>
        <v>#REF!</v>
      </c>
      <c r="I82" s="55"/>
      <c r="J82" s="55"/>
      <c r="K82" s="55"/>
      <c r="L82" s="55"/>
    </row>
    <row r="83" spans="1:12" s="51" customFormat="1" ht="22.05" customHeight="1">
      <c r="A83" s="136" t="s">
        <v>60</v>
      </c>
      <c r="B83" s="136" t="e">
        <f>#REF!</f>
        <v>#REF!</v>
      </c>
      <c r="C83" s="118" t="e">
        <f>'总表-数据收集'!#REF!</f>
        <v>#REF!</v>
      </c>
      <c r="D83" s="136">
        <f>目标数据!P12</f>
        <v>20</v>
      </c>
      <c r="E83" s="140" t="e">
        <f t="shared" si="14"/>
        <v>#REF!</v>
      </c>
      <c r="F83" s="139" t="e">
        <f>C83-D83*E3</f>
        <v>#REF!</v>
      </c>
      <c r="G83" s="139" t="e">
        <f t="shared" si="15"/>
        <v>#REF!</v>
      </c>
      <c r="I83" s="55"/>
      <c r="J83" s="55"/>
      <c r="K83" s="55"/>
      <c r="L83" s="55"/>
    </row>
    <row r="84" spans="1:12" s="51" customFormat="1" ht="21" customHeight="1">
      <c r="A84" s="136" t="s">
        <v>61</v>
      </c>
      <c r="B84" s="251" t="e">
        <f>'总表-数据收集'!#REF!</f>
        <v>#REF!</v>
      </c>
      <c r="C84" s="251"/>
      <c r="D84" s="251"/>
      <c r="E84" s="251"/>
      <c r="F84" s="251"/>
      <c r="G84" s="251"/>
      <c r="I84" s="55"/>
      <c r="J84" s="55"/>
      <c r="K84" s="55"/>
      <c r="L84" s="55"/>
    </row>
    <row r="85" spans="1:12" s="51" customFormat="1" ht="22.05" customHeight="1">
      <c r="A85" s="136" t="s">
        <v>62</v>
      </c>
      <c r="B85" s="252" t="e">
        <f>'总表-数据收集'!#REF!</f>
        <v>#REF!</v>
      </c>
      <c r="C85" s="252"/>
      <c r="D85" s="252"/>
      <c r="E85" s="252"/>
      <c r="F85" s="252"/>
      <c r="G85" s="252"/>
      <c r="H85" s="65"/>
      <c r="I85" s="55"/>
      <c r="J85" s="55"/>
      <c r="K85" s="55"/>
      <c r="L85" s="55"/>
    </row>
    <row r="86" spans="1:12" s="51" customFormat="1" ht="22.05" customHeight="1">
      <c r="A86" s="234"/>
      <c r="B86" s="234"/>
      <c r="C86" s="234"/>
      <c r="D86" s="234"/>
      <c r="E86" s="234"/>
      <c r="F86" s="234"/>
      <c r="G86" s="234"/>
      <c r="H86" s="58" t="s">
        <v>55</v>
      </c>
      <c r="I86" s="55"/>
      <c r="J86" s="55"/>
      <c r="K86" s="55"/>
      <c r="L86" s="55"/>
    </row>
    <row r="87" spans="1:12" s="51" customFormat="1" ht="22.05" customHeight="1">
      <c r="A87" s="231" t="str">
        <f>'总表-数据收集'!B13</f>
        <v>江门大众</v>
      </c>
      <c r="B87" s="231"/>
      <c r="C87" s="231"/>
      <c r="D87" s="231"/>
      <c r="E87" s="231"/>
      <c r="F87" s="231"/>
      <c r="G87" s="231"/>
      <c r="I87" s="55">
        <v>13</v>
      </c>
      <c r="J87" s="55"/>
      <c r="K87" s="55"/>
      <c r="L87" s="55"/>
    </row>
    <row r="88" spans="1:12" s="51" customFormat="1" ht="22.05" customHeight="1">
      <c r="A88" s="124" t="s">
        <v>48</v>
      </c>
      <c r="B88" s="124" t="s">
        <v>49</v>
      </c>
      <c r="C88" s="124" t="s">
        <v>50</v>
      </c>
      <c r="D88" s="124" t="s">
        <v>51</v>
      </c>
      <c r="E88" s="124" t="s">
        <v>52</v>
      </c>
      <c r="F88" s="130" t="s">
        <v>53</v>
      </c>
      <c r="G88" s="130" t="s">
        <v>54</v>
      </c>
      <c r="I88" s="55"/>
      <c r="J88" s="55"/>
      <c r="K88" s="55"/>
      <c r="L88" s="55"/>
    </row>
    <row r="89" spans="1:12" s="51" customFormat="1" ht="22.05" customHeight="1">
      <c r="A89" s="132" t="s">
        <v>56</v>
      </c>
      <c r="B89" s="132" t="e">
        <f>#REF!</f>
        <v>#REF!</v>
      </c>
      <c r="C89" s="118" t="e">
        <f>'总表-数据收集'!#REF!</f>
        <v>#REF!</v>
      </c>
      <c r="D89" s="132">
        <f>目标数据!F13</f>
        <v>60</v>
      </c>
      <c r="E89" s="145" t="e">
        <f>C89/D89</f>
        <v>#REF!</v>
      </c>
      <c r="F89" s="144" t="e">
        <f>C89-D89*E3</f>
        <v>#REF!</v>
      </c>
      <c r="G89" s="144" t="e">
        <f>C89-D89</f>
        <v>#REF!</v>
      </c>
      <c r="I89" s="55"/>
      <c r="J89" s="55"/>
      <c r="K89" s="55"/>
      <c r="L89" s="55"/>
    </row>
    <row r="90" spans="1:12" s="51" customFormat="1" ht="22.05" customHeight="1">
      <c r="A90" s="132" t="s">
        <v>57</v>
      </c>
      <c r="B90" s="132" t="e">
        <f>#REF!</f>
        <v>#REF!</v>
      </c>
      <c r="C90" s="118" t="e">
        <f>'总表-数据收集'!#REF!</f>
        <v>#REF!</v>
      </c>
      <c r="D90" s="132">
        <f>目标数据!G13</f>
        <v>60</v>
      </c>
      <c r="E90" s="145" t="e">
        <f t="shared" ref="E90:E93" si="16">C90/D90</f>
        <v>#REF!</v>
      </c>
      <c r="F90" s="144" t="e">
        <f>C90-D90*E3</f>
        <v>#REF!</v>
      </c>
      <c r="G90" s="144" t="e">
        <f t="shared" ref="G90:G93" si="17">C90-D90</f>
        <v>#REF!</v>
      </c>
      <c r="I90" s="55"/>
      <c r="J90" s="55"/>
      <c r="K90" s="55"/>
      <c r="L90" s="55"/>
    </row>
    <row r="91" spans="1:12" s="51" customFormat="1" ht="22.05" customHeight="1">
      <c r="A91" s="132" t="s">
        <v>58</v>
      </c>
      <c r="B91" s="132" t="e">
        <f>#REF!</f>
        <v>#REF!</v>
      </c>
      <c r="C91" s="118" t="e">
        <f>'总表-数据收集'!#REF!</f>
        <v>#REF!</v>
      </c>
      <c r="D91" s="132">
        <f>目标数据!M13</f>
        <v>540</v>
      </c>
      <c r="E91" s="145" t="e">
        <f t="shared" si="16"/>
        <v>#REF!</v>
      </c>
      <c r="F91" s="144" t="e">
        <f>C91-D91*E3</f>
        <v>#REF!</v>
      </c>
      <c r="G91" s="144" t="e">
        <f t="shared" si="17"/>
        <v>#REF!</v>
      </c>
      <c r="I91" s="55"/>
      <c r="J91" s="55"/>
      <c r="K91" s="55"/>
      <c r="L91" s="55"/>
    </row>
    <row r="92" spans="1:12" s="51" customFormat="1" ht="22.05" customHeight="1">
      <c r="A92" s="132" t="s">
        <v>59</v>
      </c>
      <c r="B92" s="132" t="e">
        <f>#REF!</f>
        <v>#REF!</v>
      </c>
      <c r="C92" s="118" t="e">
        <f>'总表-数据收集'!#REF!</f>
        <v>#REF!</v>
      </c>
      <c r="D92" s="132">
        <f>目标数据!O13</f>
        <v>20</v>
      </c>
      <c r="E92" s="145" t="e">
        <f t="shared" si="16"/>
        <v>#REF!</v>
      </c>
      <c r="F92" s="144" t="e">
        <f>C92-D92*E3</f>
        <v>#REF!</v>
      </c>
      <c r="G92" s="144" t="e">
        <f t="shared" si="17"/>
        <v>#REF!</v>
      </c>
      <c r="I92" s="55"/>
      <c r="J92" s="55"/>
      <c r="K92" s="55"/>
      <c r="L92" s="55"/>
    </row>
    <row r="93" spans="1:12" s="51" customFormat="1" ht="22.05" customHeight="1">
      <c r="A93" s="132" t="s">
        <v>60</v>
      </c>
      <c r="B93" s="132" t="e">
        <f>#REF!</f>
        <v>#REF!</v>
      </c>
      <c r="C93" s="118" t="e">
        <f>'总表-数据收集'!#REF!</f>
        <v>#REF!</v>
      </c>
      <c r="D93" s="132">
        <f>目标数据!P13</f>
        <v>10</v>
      </c>
      <c r="E93" s="145" t="e">
        <f t="shared" si="16"/>
        <v>#REF!</v>
      </c>
      <c r="F93" s="144" t="e">
        <f>C93-D93*E3</f>
        <v>#REF!</v>
      </c>
      <c r="G93" s="144" t="e">
        <f t="shared" si="17"/>
        <v>#REF!</v>
      </c>
      <c r="I93" s="55"/>
      <c r="J93" s="55"/>
      <c r="K93" s="55"/>
      <c r="L93" s="55"/>
    </row>
    <row r="94" spans="1:12" s="51" customFormat="1" ht="19.05" customHeight="1">
      <c r="A94" s="132" t="s">
        <v>61</v>
      </c>
      <c r="B94" s="253" t="e">
        <f>'总表-数据收集'!#REF!</f>
        <v>#REF!</v>
      </c>
      <c r="C94" s="253"/>
      <c r="D94" s="253"/>
      <c r="E94" s="253"/>
      <c r="F94" s="253"/>
      <c r="G94" s="253"/>
      <c r="I94" s="55"/>
      <c r="J94" s="55"/>
      <c r="K94" s="55"/>
      <c r="L94" s="55"/>
    </row>
    <row r="95" spans="1:12" s="51" customFormat="1" ht="22.05" customHeight="1">
      <c r="A95" s="151" t="s">
        <v>62</v>
      </c>
      <c r="B95" s="254" t="e">
        <f>'总表-数据收集'!#REF!</f>
        <v>#REF!</v>
      </c>
      <c r="C95" s="254"/>
      <c r="D95" s="254"/>
      <c r="E95" s="254"/>
      <c r="F95" s="254"/>
      <c r="G95" s="254"/>
      <c r="H95" s="57"/>
      <c r="I95" s="55"/>
      <c r="J95" s="55"/>
      <c r="K95" s="55"/>
      <c r="L95" s="55"/>
    </row>
    <row r="96" spans="1:12" s="51" customFormat="1" ht="22.05" customHeight="1">
      <c r="A96" s="255"/>
      <c r="B96" s="255"/>
      <c r="C96" s="255"/>
      <c r="D96" s="255"/>
      <c r="E96" s="255"/>
      <c r="F96" s="255"/>
      <c r="G96" s="255"/>
      <c r="H96" s="58" t="s">
        <v>55</v>
      </c>
      <c r="I96" s="55"/>
      <c r="J96" s="55"/>
      <c r="K96" s="55"/>
      <c r="L96" s="55"/>
    </row>
    <row r="97" spans="1:15" s="51" customFormat="1" ht="22.05" customHeight="1">
      <c r="A97" s="256" t="str">
        <f>'总表-数据收集'!B14</f>
        <v>河源零跑</v>
      </c>
      <c r="B97" s="256"/>
      <c r="C97" s="256"/>
      <c r="D97" s="256"/>
      <c r="E97" s="256"/>
      <c r="F97" s="256"/>
      <c r="G97" s="256"/>
      <c r="I97" s="55">
        <v>14</v>
      </c>
      <c r="J97" s="55"/>
      <c r="K97" s="55"/>
      <c r="L97" s="55"/>
    </row>
    <row r="98" spans="1:15" s="51" customFormat="1" ht="22.05" customHeight="1">
      <c r="A98" s="124" t="s">
        <v>48</v>
      </c>
      <c r="B98" s="124" t="s">
        <v>49</v>
      </c>
      <c r="C98" s="124" t="s">
        <v>50</v>
      </c>
      <c r="D98" s="124" t="s">
        <v>51</v>
      </c>
      <c r="E98" s="124" t="s">
        <v>52</v>
      </c>
      <c r="F98" s="130" t="s">
        <v>53</v>
      </c>
      <c r="G98" s="130" t="s">
        <v>54</v>
      </c>
      <c r="I98" s="55"/>
      <c r="J98" s="55"/>
      <c r="K98" s="55"/>
      <c r="L98" s="55"/>
    </row>
    <row r="99" spans="1:15" s="51" customFormat="1" ht="22.05" customHeight="1">
      <c r="A99" s="132" t="s">
        <v>56</v>
      </c>
      <c r="B99" s="132" t="e">
        <f>#REF!</f>
        <v>#REF!</v>
      </c>
      <c r="C99" s="118" t="e">
        <f>'总表-数据收集'!#REF!</f>
        <v>#REF!</v>
      </c>
      <c r="D99" s="132">
        <f>目标数据!F14</f>
        <v>80</v>
      </c>
      <c r="E99" s="145" t="e">
        <f t="shared" ref="E99:E103" si="18">C99/D99</f>
        <v>#REF!</v>
      </c>
      <c r="F99" s="144" t="e">
        <f>C99-D99*E3</f>
        <v>#REF!</v>
      </c>
      <c r="G99" s="144" t="e">
        <f t="shared" ref="G99:G103" si="19">C99-D99</f>
        <v>#REF!</v>
      </c>
      <c r="I99" s="55"/>
      <c r="J99" s="55"/>
      <c r="K99" s="55"/>
      <c r="L99" s="55"/>
    </row>
    <row r="100" spans="1:15" s="51" customFormat="1" ht="22.05" customHeight="1">
      <c r="A100" s="132" t="s">
        <v>57</v>
      </c>
      <c r="B100" s="132" t="e">
        <f>#REF!</f>
        <v>#REF!</v>
      </c>
      <c r="C100" s="118" t="e">
        <f>'总表-数据收集'!#REF!</f>
        <v>#REF!</v>
      </c>
      <c r="D100" s="132">
        <f>目标数据!G14</f>
        <v>90</v>
      </c>
      <c r="E100" s="145" t="e">
        <f t="shared" si="18"/>
        <v>#REF!</v>
      </c>
      <c r="F100" s="144" t="e">
        <f>C100-D100*E3</f>
        <v>#REF!</v>
      </c>
      <c r="G100" s="144" t="e">
        <f t="shared" si="19"/>
        <v>#REF!</v>
      </c>
      <c r="I100" s="55"/>
      <c r="J100" s="55"/>
      <c r="K100" s="55"/>
      <c r="L100" s="55"/>
    </row>
    <row r="101" spans="1:15" s="51" customFormat="1" ht="22.05" customHeight="1">
      <c r="A101" s="132" t="s">
        <v>58</v>
      </c>
      <c r="B101" s="132" t="e">
        <f>#REF!</f>
        <v>#REF!</v>
      </c>
      <c r="C101" s="118" t="e">
        <f>'总表-数据收集'!#REF!</f>
        <v>#REF!</v>
      </c>
      <c r="D101" s="132">
        <f>目标数据!M14</f>
        <v>1400</v>
      </c>
      <c r="E101" s="143" t="e">
        <f t="shared" si="18"/>
        <v>#REF!</v>
      </c>
      <c r="F101" s="144" t="e">
        <f>C101-D101*E3</f>
        <v>#REF!</v>
      </c>
      <c r="G101" s="144" t="e">
        <f t="shared" si="19"/>
        <v>#REF!</v>
      </c>
      <c r="I101" s="55"/>
      <c r="J101" s="55"/>
      <c r="K101" s="55"/>
      <c r="L101" s="55"/>
    </row>
    <row r="102" spans="1:15" s="51" customFormat="1" ht="22.05" customHeight="1">
      <c r="A102" s="132" t="s">
        <v>59</v>
      </c>
      <c r="B102" s="132" t="e">
        <f>#REF!</f>
        <v>#REF!</v>
      </c>
      <c r="C102" s="118" t="e">
        <f>'总表-数据收集'!#REF!</f>
        <v>#REF!</v>
      </c>
      <c r="D102" s="132">
        <f>目标数据!O14</f>
        <v>80</v>
      </c>
      <c r="E102" s="143" t="e">
        <f t="shared" si="18"/>
        <v>#REF!</v>
      </c>
      <c r="F102" s="144" t="e">
        <f>C102-D102*E3</f>
        <v>#REF!</v>
      </c>
      <c r="G102" s="144" t="e">
        <f t="shared" si="19"/>
        <v>#REF!</v>
      </c>
      <c r="I102" s="55"/>
      <c r="J102" s="55"/>
      <c r="K102" s="55"/>
      <c r="L102" s="55"/>
    </row>
    <row r="103" spans="1:15" s="51" customFormat="1" ht="22.05" customHeight="1">
      <c r="A103" s="132" t="s">
        <v>60</v>
      </c>
      <c r="B103" s="132" t="e">
        <f>#REF!</f>
        <v>#REF!</v>
      </c>
      <c r="C103" s="118" t="e">
        <f>'总表-数据收集'!#REF!</f>
        <v>#REF!</v>
      </c>
      <c r="D103" s="132">
        <f>目标数据!P14</f>
        <v>20</v>
      </c>
      <c r="E103" s="143" t="e">
        <f t="shared" si="18"/>
        <v>#REF!</v>
      </c>
      <c r="F103" s="144" t="e">
        <f>C103-D103*E3</f>
        <v>#REF!</v>
      </c>
      <c r="G103" s="144" t="e">
        <f t="shared" si="19"/>
        <v>#REF!</v>
      </c>
      <c r="I103" s="55"/>
      <c r="J103" s="55"/>
      <c r="K103" s="53"/>
      <c r="L103" s="53"/>
      <c r="M103" s="52"/>
      <c r="N103" s="52"/>
      <c r="O103" s="52"/>
    </row>
    <row r="104" spans="1:15" ht="16.899999999999999">
      <c r="A104" s="132" t="s">
        <v>61</v>
      </c>
      <c r="B104" s="253" t="e">
        <f>'总表-数据收集'!#REF!</f>
        <v>#REF!</v>
      </c>
      <c r="C104" s="253"/>
      <c r="D104" s="253"/>
      <c r="E104" s="253"/>
      <c r="F104" s="253"/>
      <c r="G104" s="253"/>
    </row>
    <row r="105" spans="1:15" ht="20.55" customHeight="1">
      <c r="A105" s="151" t="s">
        <v>62</v>
      </c>
      <c r="B105" s="254" t="e">
        <f>'总表-数据收集'!#REF!</f>
        <v>#REF!</v>
      </c>
      <c r="C105" s="254"/>
      <c r="D105" s="254"/>
      <c r="E105" s="254"/>
      <c r="F105" s="254"/>
      <c r="G105" s="254"/>
      <c r="H105" s="67"/>
    </row>
    <row r="106" spans="1:15" ht="20.55" customHeight="1">
      <c r="H106" s="58" t="s">
        <v>55</v>
      </c>
    </row>
    <row r="107" spans="1:15" ht="20.55" customHeight="1">
      <c r="A107" s="257" t="str">
        <f>'总表-数据收集'!B15</f>
        <v>汕头零跑</v>
      </c>
      <c r="B107" s="257"/>
      <c r="C107" s="257"/>
      <c r="D107" s="257"/>
      <c r="E107" s="257"/>
      <c r="F107" s="257"/>
      <c r="G107" s="257"/>
      <c r="H107" s="51"/>
      <c r="I107" s="53">
        <v>15</v>
      </c>
    </row>
    <row r="108" spans="1:15" ht="20.55" customHeight="1">
      <c r="A108" s="124" t="s">
        <v>48</v>
      </c>
      <c r="B108" s="124" t="s">
        <v>49</v>
      </c>
      <c r="C108" s="124" t="s">
        <v>50</v>
      </c>
      <c r="D108" s="124" t="s">
        <v>51</v>
      </c>
      <c r="E108" s="124" t="s">
        <v>52</v>
      </c>
      <c r="F108" s="130" t="s">
        <v>53</v>
      </c>
      <c r="G108" s="130" t="s">
        <v>54</v>
      </c>
      <c r="H108" s="51"/>
      <c r="N108" s="68"/>
    </row>
    <row r="109" spans="1:15" ht="20.55" customHeight="1">
      <c r="A109" s="132" t="s">
        <v>56</v>
      </c>
      <c r="B109" s="132" t="e">
        <f>#REF!</f>
        <v>#REF!</v>
      </c>
      <c r="C109" s="118" t="e">
        <f>'总表-数据收集'!#REF!</f>
        <v>#REF!</v>
      </c>
      <c r="D109" s="132">
        <f>目标数据!F15</f>
        <v>100</v>
      </c>
      <c r="E109" s="143" t="e">
        <f t="shared" ref="E109:E113" si="20">C109/D109</f>
        <v>#REF!</v>
      </c>
      <c r="F109" s="144" t="e">
        <f>C109-D109*E3</f>
        <v>#REF!</v>
      </c>
      <c r="G109" s="144" t="e">
        <f t="shared" ref="G109:G113" si="21">C109-D109</f>
        <v>#REF!</v>
      </c>
      <c r="H109" s="51"/>
    </row>
    <row r="110" spans="1:15" ht="20.55" customHeight="1">
      <c r="A110" s="132" t="s">
        <v>57</v>
      </c>
      <c r="B110" s="132" t="e">
        <f>#REF!</f>
        <v>#REF!</v>
      </c>
      <c r="C110" s="118" t="e">
        <f>'总表-数据收集'!#REF!</f>
        <v>#REF!</v>
      </c>
      <c r="D110" s="132">
        <f>目标数据!G15</f>
        <v>100</v>
      </c>
      <c r="E110" s="143" t="e">
        <f t="shared" si="20"/>
        <v>#REF!</v>
      </c>
      <c r="F110" s="144" t="e">
        <f>C110-D110*E3</f>
        <v>#REF!</v>
      </c>
      <c r="G110" s="144" t="e">
        <f t="shared" si="21"/>
        <v>#REF!</v>
      </c>
      <c r="H110" s="51"/>
    </row>
    <row r="111" spans="1:15" ht="20.55" customHeight="1">
      <c r="A111" s="132" t="s">
        <v>58</v>
      </c>
      <c r="B111" s="132" t="e">
        <f>#REF!</f>
        <v>#REF!</v>
      </c>
      <c r="C111" s="118" t="e">
        <f>'总表-数据收集'!#REF!</f>
        <v>#REF!</v>
      </c>
      <c r="D111" s="132">
        <f>目标数据!M15</f>
        <v>1400</v>
      </c>
      <c r="E111" s="143" t="e">
        <f t="shared" si="20"/>
        <v>#REF!</v>
      </c>
      <c r="F111" s="144" t="e">
        <f>C111-D111*E3</f>
        <v>#REF!</v>
      </c>
      <c r="G111" s="144" t="e">
        <f t="shared" si="21"/>
        <v>#REF!</v>
      </c>
      <c r="H111" s="51"/>
    </row>
    <row r="112" spans="1:15" ht="20.55" customHeight="1">
      <c r="A112" s="132" t="s">
        <v>59</v>
      </c>
      <c r="B112" s="132" t="e">
        <f>#REF!</f>
        <v>#REF!</v>
      </c>
      <c r="C112" s="118" t="e">
        <f>'总表-数据收集'!#REF!</f>
        <v>#REF!</v>
      </c>
      <c r="D112" s="132">
        <f>目标数据!O15</f>
        <v>80</v>
      </c>
      <c r="E112" s="143" t="e">
        <f t="shared" si="20"/>
        <v>#REF!</v>
      </c>
      <c r="F112" s="144" t="e">
        <f>C112-D112*E3</f>
        <v>#REF!</v>
      </c>
      <c r="G112" s="144" t="e">
        <f t="shared" si="21"/>
        <v>#REF!</v>
      </c>
      <c r="H112" s="51"/>
    </row>
    <row r="113" spans="1:9" ht="20.55" customHeight="1">
      <c r="A113" s="132" t="s">
        <v>60</v>
      </c>
      <c r="B113" s="132" t="e">
        <f>#REF!</f>
        <v>#REF!</v>
      </c>
      <c r="C113" s="118" t="e">
        <f>'总表-数据收集'!#REF!</f>
        <v>#REF!</v>
      </c>
      <c r="D113" s="132">
        <f>目标数据!P15</f>
        <v>20</v>
      </c>
      <c r="E113" s="143" t="e">
        <f t="shared" si="20"/>
        <v>#REF!</v>
      </c>
      <c r="F113" s="144" t="e">
        <f>C113-D113*E3</f>
        <v>#REF!</v>
      </c>
      <c r="G113" s="144" t="e">
        <f t="shared" si="21"/>
        <v>#REF!</v>
      </c>
      <c r="H113" s="51"/>
    </row>
    <row r="114" spans="1:9" ht="16.899999999999999">
      <c r="A114" s="132" t="s">
        <v>61</v>
      </c>
      <c r="B114" s="253" t="e">
        <f>'总表-数据收集'!#REF!</f>
        <v>#REF!</v>
      </c>
      <c r="C114" s="253"/>
      <c r="D114" s="253"/>
      <c r="E114" s="253"/>
      <c r="F114" s="253"/>
      <c r="G114" s="253"/>
    </row>
    <row r="115" spans="1:9" ht="16.899999999999999">
      <c r="A115" s="151" t="s">
        <v>62</v>
      </c>
      <c r="B115" s="254" t="e">
        <f>'总表-数据收集'!#REF!</f>
        <v>#REF!</v>
      </c>
      <c r="C115" s="254"/>
      <c r="D115" s="254"/>
      <c r="E115" s="254"/>
      <c r="F115" s="254"/>
      <c r="G115" s="254"/>
      <c r="H115" s="69"/>
    </row>
    <row r="116" spans="1:9" ht="16.899999999999999">
      <c r="H116" s="58" t="s">
        <v>55</v>
      </c>
    </row>
    <row r="117" spans="1:9" ht="16.899999999999999">
      <c r="A117" s="258" t="str">
        <f>'总表-数据收集'!B16</f>
        <v>清远港鸿</v>
      </c>
      <c r="B117" s="258"/>
      <c r="C117" s="258"/>
      <c r="D117" s="258"/>
      <c r="E117" s="258"/>
      <c r="F117" s="258"/>
      <c r="G117" s="258"/>
      <c r="H117" s="51"/>
      <c r="I117" s="53">
        <v>16</v>
      </c>
    </row>
    <row r="118" spans="1:9" ht="16.899999999999999">
      <c r="A118" s="124" t="s">
        <v>48</v>
      </c>
      <c r="B118" s="124" t="s">
        <v>49</v>
      </c>
      <c r="C118" s="124" t="s">
        <v>50</v>
      </c>
      <c r="D118" s="124" t="s">
        <v>51</v>
      </c>
      <c r="E118" s="124" t="s">
        <v>52</v>
      </c>
      <c r="F118" s="130" t="s">
        <v>53</v>
      </c>
      <c r="G118" s="130" t="s">
        <v>54</v>
      </c>
      <c r="H118" s="51"/>
    </row>
    <row r="119" spans="1:9" ht="16.899999999999999">
      <c r="A119" s="132" t="s">
        <v>56</v>
      </c>
      <c r="B119" s="132" t="e">
        <f>#REF!</f>
        <v>#REF!</v>
      </c>
      <c r="C119" s="118" t="e">
        <f>'总表-数据收集'!#REF!</f>
        <v>#REF!</v>
      </c>
      <c r="D119" s="132">
        <f>目标数据!F16</f>
        <v>80</v>
      </c>
      <c r="E119" s="143" t="e">
        <f t="shared" ref="E119:E123" si="22">C119/D119</f>
        <v>#REF!</v>
      </c>
      <c r="F119" s="144" t="e">
        <f>C119-D119*E3</f>
        <v>#REF!</v>
      </c>
      <c r="G119" s="144" t="e">
        <f>C119-D119</f>
        <v>#REF!</v>
      </c>
      <c r="H119" s="51"/>
    </row>
    <row r="120" spans="1:9" ht="16.899999999999999">
      <c r="A120" s="132" t="s">
        <v>57</v>
      </c>
      <c r="B120" s="132" t="e">
        <f>#REF!</f>
        <v>#REF!</v>
      </c>
      <c r="C120" s="118" t="e">
        <f>'总表-数据收集'!#REF!</f>
        <v>#REF!</v>
      </c>
      <c r="D120" s="132">
        <f>目标数据!G16</f>
        <v>90</v>
      </c>
      <c r="E120" s="143" t="e">
        <f t="shared" si="22"/>
        <v>#REF!</v>
      </c>
      <c r="F120" s="144" t="e">
        <f>C120-D120*E3</f>
        <v>#REF!</v>
      </c>
      <c r="G120" s="144" t="e">
        <f t="shared" ref="G120:G123" si="23">C120-D120</f>
        <v>#REF!</v>
      </c>
      <c r="H120" s="51"/>
    </row>
    <row r="121" spans="1:9" ht="16.899999999999999">
      <c r="A121" s="132" t="s">
        <v>58</v>
      </c>
      <c r="B121" s="132" t="e">
        <f>#REF!</f>
        <v>#REF!</v>
      </c>
      <c r="C121" s="118" t="e">
        <f>'总表-数据收集'!#REF!</f>
        <v>#REF!</v>
      </c>
      <c r="D121" s="132">
        <f>目标数据!M16</f>
        <v>456</v>
      </c>
      <c r="E121" s="143" t="e">
        <f t="shared" si="22"/>
        <v>#REF!</v>
      </c>
      <c r="F121" s="144" t="e">
        <f>C121-D121*E3</f>
        <v>#REF!</v>
      </c>
      <c r="G121" s="144" t="e">
        <f t="shared" si="23"/>
        <v>#REF!</v>
      </c>
      <c r="H121" s="51"/>
    </row>
    <row r="122" spans="1:9" ht="16.899999999999999">
      <c r="A122" s="132" t="s">
        <v>59</v>
      </c>
      <c r="B122" s="132" t="e">
        <f>#REF!</f>
        <v>#REF!</v>
      </c>
      <c r="C122" s="118" t="e">
        <f>'总表-数据收集'!#REF!</f>
        <v>#REF!</v>
      </c>
      <c r="D122" s="132">
        <f>目标数据!O16</f>
        <v>50</v>
      </c>
      <c r="E122" s="145" t="e">
        <f t="shared" si="22"/>
        <v>#REF!</v>
      </c>
      <c r="F122" s="144" t="e">
        <f>C122-D122*E3</f>
        <v>#REF!</v>
      </c>
      <c r="G122" s="144" t="e">
        <f t="shared" si="23"/>
        <v>#REF!</v>
      </c>
      <c r="H122" s="51"/>
    </row>
    <row r="123" spans="1:9" ht="16.899999999999999">
      <c r="A123" s="132" t="s">
        <v>60</v>
      </c>
      <c r="B123" s="132" t="e">
        <f>#REF!</f>
        <v>#REF!</v>
      </c>
      <c r="C123" s="118" t="e">
        <f>'总表-数据收集'!#REF!</f>
        <v>#REF!</v>
      </c>
      <c r="D123" s="132">
        <f>目标数据!P16</f>
        <v>8</v>
      </c>
      <c r="E123" s="145" t="e">
        <f t="shared" si="22"/>
        <v>#REF!</v>
      </c>
      <c r="F123" s="144" t="e">
        <f>C123-D123*E3</f>
        <v>#REF!</v>
      </c>
      <c r="G123" s="144" t="e">
        <f t="shared" si="23"/>
        <v>#REF!</v>
      </c>
      <c r="H123" s="51"/>
    </row>
    <row r="124" spans="1:9" ht="16.899999999999999">
      <c r="A124" s="132" t="s">
        <v>61</v>
      </c>
      <c r="B124" s="253" t="e">
        <f>'总表-数据收集'!#REF!</f>
        <v>#REF!</v>
      </c>
      <c r="C124" s="253"/>
      <c r="D124" s="253"/>
      <c r="E124" s="253"/>
      <c r="F124" s="253"/>
      <c r="G124" s="253"/>
    </row>
    <row r="125" spans="1:9" ht="16.899999999999999">
      <c r="A125" s="151" t="s">
        <v>62</v>
      </c>
      <c r="B125" s="254" t="e">
        <f>'总表-数据收集'!#REF!</f>
        <v>#REF!</v>
      </c>
      <c r="C125" s="254"/>
      <c r="D125" s="254"/>
      <c r="E125" s="254"/>
      <c r="F125" s="254"/>
      <c r="G125" s="254"/>
      <c r="H125" s="152"/>
    </row>
    <row r="126" spans="1:9" ht="16.899999999999999">
      <c r="H126" s="58" t="s">
        <v>55</v>
      </c>
    </row>
    <row r="127" spans="1:9" ht="16.899999999999999">
      <c r="A127" s="259" t="str">
        <f>'总表-数据收集'!B17</f>
        <v>从化零跑</v>
      </c>
      <c r="B127" s="259"/>
      <c r="C127" s="259"/>
      <c r="D127" s="259"/>
      <c r="E127" s="259"/>
      <c r="F127" s="259"/>
      <c r="G127" s="259"/>
      <c r="H127" s="51"/>
      <c r="I127" s="53">
        <v>17</v>
      </c>
    </row>
    <row r="128" spans="1:9" ht="16.899999999999999">
      <c r="A128" s="124" t="s">
        <v>48</v>
      </c>
      <c r="B128" s="124" t="s">
        <v>49</v>
      </c>
      <c r="C128" s="124" t="s">
        <v>50</v>
      </c>
      <c r="D128" s="124" t="s">
        <v>51</v>
      </c>
      <c r="E128" s="124" t="s">
        <v>52</v>
      </c>
      <c r="F128" s="130" t="s">
        <v>53</v>
      </c>
      <c r="G128" s="130" t="s">
        <v>54</v>
      </c>
      <c r="H128" s="51"/>
    </row>
    <row r="129" spans="1:9" ht="16.899999999999999">
      <c r="A129" s="132" t="s">
        <v>56</v>
      </c>
      <c r="B129" s="132" t="e">
        <f>#REF!</f>
        <v>#REF!</v>
      </c>
      <c r="C129" s="118" t="e">
        <f>'总表-数据收集'!#REF!</f>
        <v>#REF!</v>
      </c>
      <c r="D129" s="132">
        <f>目标数据!F17</f>
        <v>80</v>
      </c>
      <c r="E129" s="145" t="e">
        <f>C129/D129</f>
        <v>#REF!</v>
      </c>
      <c r="F129" s="144" t="e">
        <f>C129-D129*E3</f>
        <v>#REF!</v>
      </c>
      <c r="G129" s="144" t="e">
        <f>C129-D129</f>
        <v>#REF!</v>
      </c>
      <c r="H129" s="51"/>
    </row>
    <row r="130" spans="1:9" ht="16.899999999999999">
      <c r="A130" s="132" t="s">
        <v>57</v>
      </c>
      <c r="B130" s="132" t="e">
        <f>#REF!</f>
        <v>#REF!</v>
      </c>
      <c r="C130" s="118" t="e">
        <f>'总表-数据收集'!#REF!</f>
        <v>#REF!</v>
      </c>
      <c r="D130" s="132">
        <f>目标数据!G17</f>
        <v>60</v>
      </c>
      <c r="E130" s="143" t="e">
        <f>C130/D130</f>
        <v>#REF!</v>
      </c>
      <c r="F130" s="144" t="e">
        <f>C130-D130*E3</f>
        <v>#REF!</v>
      </c>
      <c r="G130" s="144" t="e">
        <f t="shared" ref="G130:G133" si="24">C130-D130</f>
        <v>#REF!</v>
      </c>
      <c r="H130" s="51"/>
    </row>
    <row r="131" spans="1:9" ht="16.899999999999999">
      <c r="A131" s="132" t="s">
        <v>58</v>
      </c>
      <c r="B131" s="132" t="e">
        <f>#REF!</f>
        <v>#REF!</v>
      </c>
      <c r="C131" s="118" t="e">
        <f>'总表-数据收集'!#REF!</f>
        <v>#REF!</v>
      </c>
      <c r="D131" s="132">
        <f>目标数据!M17</f>
        <v>500</v>
      </c>
      <c r="E131" s="145" t="e">
        <f t="shared" ref="E131:E133" si="25">C131/D131</f>
        <v>#REF!</v>
      </c>
      <c r="F131" s="144" t="e">
        <f>C131-D131*E3</f>
        <v>#REF!</v>
      </c>
      <c r="G131" s="144" t="e">
        <f t="shared" si="24"/>
        <v>#REF!</v>
      </c>
      <c r="H131" s="51"/>
    </row>
    <row r="132" spans="1:9" ht="16.899999999999999">
      <c r="A132" s="132" t="s">
        <v>59</v>
      </c>
      <c r="B132" s="132" t="e">
        <f>#REF!</f>
        <v>#REF!</v>
      </c>
      <c r="C132" s="118" t="e">
        <f>'总表-数据收集'!#REF!</f>
        <v>#REF!</v>
      </c>
      <c r="D132" s="132">
        <f>目标数据!O17</f>
        <v>50</v>
      </c>
      <c r="E132" s="145" t="e">
        <f t="shared" si="25"/>
        <v>#REF!</v>
      </c>
      <c r="F132" s="144" t="e">
        <f>C132-D132*E3</f>
        <v>#REF!</v>
      </c>
      <c r="G132" s="144" t="e">
        <f t="shared" si="24"/>
        <v>#REF!</v>
      </c>
      <c r="H132" s="51"/>
    </row>
    <row r="133" spans="1:9" ht="16.899999999999999">
      <c r="A133" s="132" t="s">
        <v>60</v>
      </c>
      <c r="B133" s="132" t="e">
        <f>#REF!</f>
        <v>#REF!</v>
      </c>
      <c r="C133" s="118" t="e">
        <f>'总表-数据收集'!#REF!</f>
        <v>#REF!</v>
      </c>
      <c r="D133" s="132">
        <f>目标数据!P17</f>
        <v>15</v>
      </c>
      <c r="E133" s="145" t="e">
        <f t="shared" si="25"/>
        <v>#REF!</v>
      </c>
      <c r="F133" s="144" t="e">
        <f>C133-D133*E3</f>
        <v>#REF!</v>
      </c>
      <c r="G133" s="144" t="e">
        <f t="shared" si="24"/>
        <v>#REF!</v>
      </c>
      <c r="H133" s="51"/>
    </row>
    <row r="134" spans="1:9" ht="16.899999999999999">
      <c r="A134" s="132" t="s">
        <v>61</v>
      </c>
      <c r="B134" s="253" t="e">
        <f>'总表-数据收集'!#REF!</f>
        <v>#REF!</v>
      </c>
      <c r="C134" s="253"/>
      <c r="D134" s="253"/>
      <c r="E134" s="253"/>
      <c r="F134" s="253"/>
      <c r="G134" s="253"/>
    </row>
    <row r="135" spans="1:9" ht="16.899999999999999">
      <c r="A135" s="151" t="s">
        <v>62</v>
      </c>
      <c r="B135" s="254" t="e">
        <f>'总表-数据收集'!#REF!</f>
        <v>#REF!</v>
      </c>
      <c r="C135" s="254"/>
      <c r="D135" s="254"/>
      <c r="E135" s="254"/>
      <c r="F135" s="254"/>
      <c r="G135" s="254"/>
      <c r="H135" s="153"/>
    </row>
    <row r="136" spans="1:9" ht="16.899999999999999">
      <c r="H136" s="58" t="s">
        <v>55</v>
      </c>
    </row>
    <row r="137" spans="1:9" ht="16.899999999999999">
      <c r="A137" s="256" t="str">
        <f>'总表-数据收集'!B18</f>
        <v>清远奇晟</v>
      </c>
      <c r="B137" s="256"/>
      <c r="C137" s="256"/>
      <c r="D137" s="256"/>
      <c r="E137" s="256"/>
      <c r="F137" s="256"/>
      <c r="G137" s="256"/>
      <c r="H137" s="51"/>
      <c r="I137" s="53">
        <v>18</v>
      </c>
    </row>
    <row r="138" spans="1:9" ht="16.899999999999999">
      <c r="A138" s="124" t="s">
        <v>48</v>
      </c>
      <c r="B138" s="124" t="s">
        <v>49</v>
      </c>
      <c r="C138" s="124" t="s">
        <v>50</v>
      </c>
      <c r="D138" s="124" t="s">
        <v>51</v>
      </c>
      <c r="E138" s="124" t="s">
        <v>52</v>
      </c>
      <c r="F138" s="130" t="s">
        <v>53</v>
      </c>
      <c r="G138" s="130" t="s">
        <v>54</v>
      </c>
      <c r="H138" s="51"/>
    </row>
    <row r="139" spans="1:9" ht="16.899999999999999">
      <c r="A139" s="132" t="s">
        <v>56</v>
      </c>
      <c r="B139" s="132" t="e">
        <f>#REF!</f>
        <v>#REF!</v>
      </c>
      <c r="C139" s="118" t="e">
        <f>'总表-数据收集'!#REF!</f>
        <v>#REF!</v>
      </c>
      <c r="D139" s="132">
        <f>目标数据!F18</f>
        <v>80</v>
      </c>
      <c r="E139" s="145" t="e">
        <f t="shared" ref="E139:E143" si="26">C139/D139</f>
        <v>#REF!</v>
      </c>
      <c r="F139" s="144" t="e">
        <f>C139-D139*E3</f>
        <v>#REF!</v>
      </c>
      <c r="G139" s="144" t="e">
        <f t="shared" ref="G139:G143" si="27">C139-D139</f>
        <v>#REF!</v>
      </c>
      <c r="H139" s="51"/>
    </row>
    <row r="140" spans="1:9" ht="16.899999999999999">
      <c r="A140" s="132" t="s">
        <v>57</v>
      </c>
      <c r="B140" s="132" t="e">
        <f>#REF!</f>
        <v>#REF!</v>
      </c>
      <c r="C140" s="118" t="e">
        <f>'总表-数据收集'!#REF!</f>
        <v>#REF!</v>
      </c>
      <c r="D140" s="132">
        <f>目标数据!G18</f>
        <v>90</v>
      </c>
      <c r="E140" s="143" t="e">
        <f t="shared" si="26"/>
        <v>#REF!</v>
      </c>
      <c r="F140" s="144" t="e">
        <f>C140-D140*E3</f>
        <v>#REF!</v>
      </c>
      <c r="G140" s="144" t="e">
        <f t="shared" si="27"/>
        <v>#REF!</v>
      </c>
      <c r="H140" s="51"/>
    </row>
    <row r="141" spans="1:9" ht="16.899999999999999">
      <c r="A141" s="132" t="s">
        <v>58</v>
      </c>
      <c r="B141" s="132" t="e">
        <f>#REF!</f>
        <v>#REF!</v>
      </c>
      <c r="C141" s="118" t="e">
        <f>'总表-数据收集'!#REF!</f>
        <v>#REF!</v>
      </c>
      <c r="D141" s="132">
        <f>目标数据!M18</f>
        <v>428</v>
      </c>
      <c r="E141" s="145" t="e">
        <f t="shared" si="26"/>
        <v>#REF!</v>
      </c>
      <c r="F141" s="144" t="e">
        <f>C141-D141*E3</f>
        <v>#REF!</v>
      </c>
      <c r="G141" s="144" t="e">
        <f t="shared" si="27"/>
        <v>#REF!</v>
      </c>
      <c r="H141" s="51"/>
    </row>
    <row r="142" spans="1:9" ht="16.899999999999999">
      <c r="A142" s="132" t="s">
        <v>59</v>
      </c>
      <c r="B142" s="132" t="e">
        <f>#REF!</f>
        <v>#REF!</v>
      </c>
      <c r="C142" s="118" t="e">
        <f>'总表-数据收集'!#REF!</f>
        <v>#REF!</v>
      </c>
      <c r="D142" s="132">
        <f>目标数据!O18</f>
        <v>50</v>
      </c>
      <c r="E142" s="145" t="e">
        <f t="shared" si="26"/>
        <v>#REF!</v>
      </c>
      <c r="F142" s="144" t="e">
        <f>C142-D142*E3</f>
        <v>#REF!</v>
      </c>
      <c r="G142" s="144" t="e">
        <f t="shared" si="27"/>
        <v>#REF!</v>
      </c>
      <c r="H142" s="51"/>
    </row>
    <row r="143" spans="1:9" ht="16.899999999999999">
      <c r="A143" s="132" t="s">
        <v>60</v>
      </c>
      <c r="B143" s="132" t="e">
        <f>#REF!</f>
        <v>#REF!</v>
      </c>
      <c r="C143" s="118" t="e">
        <f>'总表-数据收集'!#REF!</f>
        <v>#REF!</v>
      </c>
      <c r="D143" s="132">
        <f>目标数据!P18</f>
        <v>6</v>
      </c>
      <c r="E143" s="145" t="e">
        <f t="shared" si="26"/>
        <v>#REF!</v>
      </c>
      <c r="F143" s="144" t="e">
        <f>C143-D143*E3</f>
        <v>#REF!</v>
      </c>
      <c r="G143" s="144" t="e">
        <f t="shared" si="27"/>
        <v>#REF!</v>
      </c>
    </row>
    <row r="144" spans="1:9" ht="16.899999999999999">
      <c r="A144" s="132" t="s">
        <v>61</v>
      </c>
      <c r="B144" s="253" t="e">
        <f>'总表-数据收集'!#REF!</f>
        <v>#REF!</v>
      </c>
      <c r="C144" s="253"/>
      <c r="D144" s="253"/>
      <c r="E144" s="253"/>
      <c r="F144" s="253"/>
      <c r="G144" s="253"/>
    </row>
    <row r="145" spans="1:9" ht="16.899999999999999">
      <c r="A145" s="151" t="s">
        <v>62</v>
      </c>
      <c r="B145" s="254" t="e">
        <f>'总表-数据收集'!#REF!</f>
        <v>#REF!</v>
      </c>
      <c r="C145" s="254"/>
      <c r="D145" s="254"/>
      <c r="E145" s="254"/>
      <c r="F145" s="254"/>
      <c r="G145" s="254"/>
      <c r="H145" s="67"/>
    </row>
    <row r="146" spans="1:9" ht="16.899999999999999">
      <c r="H146" s="58" t="s">
        <v>55</v>
      </c>
    </row>
    <row r="147" spans="1:9" ht="16.899999999999999">
      <c r="A147" s="257" t="str">
        <f>'总表-数据收集'!B19</f>
        <v>清远英德</v>
      </c>
      <c r="B147" s="257"/>
      <c r="C147" s="257"/>
      <c r="D147" s="257"/>
      <c r="E147" s="257"/>
      <c r="F147" s="257"/>
      <c r="G147" s="257"/>
      <c r="H147" s="51"/>
      <c r="I147" s="53">
        <v>19</v>
      </c>
    </row>
    <row r="148" spans="1:9" ht="16.899999999999999">
      <c r="A148" s="124" t="s">
        <v>48</v>
      </c>
      <c r="B148" s="124" t="s">
        <v>49</v>
      </c>
      <c r="C148" s="124" t="s">
        <v>50</v>
      </c>
      <c r="D148" s="124" t="s">
        <v>51</v>
      </c>
      <c r="E148" s="124" t="s">
        <v>52</v>
      </c>
      <c r="F148" s="130" t="s">
        <v>53</v>
      </c>
      <c r="G148" s="130" t="s">
        <v>54</v>
      </c>
      <c r="H148" s="51"/>
    </row>
    <row r="149" spans="1:9" ht="16.899999999999999">
      <c r="A149" s="132" t="s">
        <v>56</v>
      </c>
      <c r="B149" s="132" t="e">
        <f>#REF!</f>
        <v>#REF!</v>
      </c>
      <c r="C149" s="118" t="e">
        <f>'总表-数据收集'!#REF!</f>
        <v>#REF!</v>
      </c>
      <c r="D149" s="132">
        <f>目标数据!F19</f>
        <v>60</v>
      </c>
      <c r="E149" s="143" t="e">
        <f t="shared" ref="E149:E153" si="28">C149/D149</f>
        <v>#REF!</v>
      </c>
      <c r="F149" s="144" t="e">
        <f>C149-D149*E3</f>
        <v>#REF!</v>
      </c>
      <c r="G149" s="144" t="e">
        <f t="shared" ref="G149:G153" si="29">C149-D149</f>
        <v>#REF!</v>
      </c>
      <c r="H149" s="51"/>
    </row>
    <row r="150" spans="1:9" ht="16.899999999999999">
      <c r="A150" s="132" t="s">
        <v>57</v>
      </c>
      <c r="B150" s="132" t="e">
        <f>#REF!</f>
        <v>#REF!</v>
      </c>
      <c r="C150" s="118" t="e">
        <f>'总表-数据收集'!#REF!</f>
        <v>#REF!</v>
      </c>
      <c r="D150" s="132">
        <f>目标数据!G19</f>
        <v>60</v>
      </c>
      <c r="E150" s="143" t="e">
        <f t="shared" si="28"/>
        <v>#REF!</v>
      </c>
      <c r="F150" s="144" t="e">
        <f>C150-D150*E3</f>
        <v>#REF!</v>
      </c>
      <c r="G150" s="144" t="e">
        <f t="shared" si="29"/>
        <v>#REF!</v>
      </c>
      <c r="H150" s="51"/>
    </row>
    <row r="151" spans="1:9" ht="16.899999999999999">
      <c r="A151" s="132" t="s">
        <v>58</v>
      </c>
      <c r="B151" s="132" t="e">
        <f>#REF!</f>
        <v>#REF!</v>
      </c>
      <c r="C151" s="118" t="e">
        <f>'总表-数据收集'!#REF!</f>
        <v>#REF!</v>
      </c>
      <c r="D151" s="132">
        <f>目标数据!M19</f>
        <v>60</v>
      </c>
      <c r="E151" s="143" t="e">
        <f t="shared" si="28"/>
        <v>#REF!</v>
      </c>
      <c r="F151" s="144" t="e">
        <f>C151-D151*E3</f>
        <v>#REF!</v>
      </c>
      <c r="G151" s="144" t="e">
        <f t="shared" si="29"/>
        <v>#REF!</v>
      </c>
      <c r="H151" s="51"/>
    </row>
    <row r="152" spans="1:9" ht="16.899999999999999">
      <c r="A152" s="132" t="s">
        <v>59</v>
      </c>
      <c r="B152" s="132" t="e">
        <f>#REF!</f>
        <v>#REF!</v>
      </c>
      <c r="C152" s="118" t="e">
        <f>'总表-数据收集'!#REF!</f>
        <v>#REF!</v>
      </c>
      <c r="D152" s="132">
        <f>目标数据!O19</f>
        <v>15</v>
      </c>
      <c r="E152" s="145" t="e">
        <f t="shared" si="28"/>
        <v>#REF!</v>
      </c>
      <c r="F152" s="144" t="e">
        <f>C152-D152*E3</f>
        <v>#REF!</v>
      </c>
      <c r="G152" s="144" t="e">
        <f t="shared" si="29"/>
        <v>#REF!</v>
      </c>
      <c r="H152" s="51"/>
    </row>
    <row r="153" spans="1:9" ht="16.899999999999999">
      <c r="A153" s="132" t="s">
        <v>60</v>
      </c>
      <c r="B153" s="132" t="e">
        <f>#REF!</f>
        <v>#REF!</v>
      </c>
      <c r="C153" s="118" t="e">
        <f>'总表-数据收集'!#REF!</f>
        <v>#REF!</v>
      </c>
      <c r="D153" s="132">
        <f>目标数据!P19</f>
        <v>15</v>
      </c>
      <c r="E153" s="145" t="e">
        <f t="shared" si="28"/>
        <v>#REF!</v>
      </c>
      <c r="F153" s="144" t="e">
        <f>C153-D153*E3</f>
        <v>#REF!</v>
      </c>
      <c r="G153" s="144" t="e">
        <f t="shared" si="29"/>
        <v>#REF!</v>
      </c>
      <c r="H153" s="51"/>
    </row>
    <row r="154" spans="1:9" ht="16.899999999999999">
      <c r="A154" s="132" t="s">
        <v>61</v>
      </c>
      <c r="B154" s="253" t="e">
        <f>'总表-数据收集'!#REF!</f>
        <v>#REF!</v>
      </c>
      <c r="C154" s="253"/>
      <c r="D154" s="253"/>
      <c r="E154" s="253"/>
      <c r="F154" s="253"/>
      <c r="G154" s="253"/>
    </row>
    <row r="155" spans="1:9" ht="16.899999999999999">
      <c r="A155" s="151" t="s">
        <v>62</v>
      </c>
      <c r="B155" s="254" t="e">
        <f>'总表-数据收集'!#REF!</f>
        <v>#REF!</v>
      </c>
      <c r="C155" s="254"/>
      <c r="D155" s="254"/>
      <c r="E155" s="254"/>
      <c r="F155" s="254"/>
      <c r="G155" s="254"/>
      <c r="H155" s="69"/>
    </row>
    <row r="156" spans="1:9" ht="16.899999999999999">
      <c r="H156" s="58" t="s">
        <v>55</v>
      </c>
    </row>
    <row r="157" spans="1:9" ht="16.899999999999999">
      <c r="A157" s="259" t="str">
        <f>'总表-数据收集'!B20</f>
        <v>广花零跑</v>
      </c>
      <c r="B157" s="259"/>
      <c r="C157" s="259"/>
      <c r="D157" s="259"/>
      <c r="E157" s="259"/>
      <c r="F157" s="259"/>
      <c r="G157" s="259"/>
      <c r="H157" s="51"/>
      <c r="I157" s="53">
        <v>20</v>
      </c>
    </row>
    <row r="158" spans="1:9" ht="16.899999999999999">
      <c r="A158" s="124" t="s">
        <v>48</v>
      </c>
      <c r="B158" s="124" t="s">
        <v>49</v>
      </c>
      <c r="C158" s="124" t="s">
        <v>50</v>
      </c>
      <c r="D158" s="124" t="s">
        <v>51</v>
      </c>
      <c r="E158" s="124" t="s">
        <v>52</v>
      </c>
      <c r="F158" s="130" t="s">
        <v>53</v>
      </c>
      <c r="G158" s="130" t="s">
        <v>54</v>
      </c>
      <c r="H158" s="51"/>
    </row>
    <row r="159" spans="1:9" ht="16.899999999999999">
      <c r="A159" s="132" t="s">
        <v>56</v>
      </c>
      <c r="B159" s="132" t="e">
        <f>#REF!</f>
        <v>#REF!</v>
      </c>
      <c r="C159" s="118" t="e">
        <f>'总表-数据收集'!#REF!</f>
        <v>#REF!</v>
      </c>
      <c r="D159" s="132">
        <f>目标数据!F20</f>
        <v>80</v>
      </c>
      <c r="E159" s="154" t="e">
        <f t="shared" ref="E159:E163" si="30">C159/D159</f>
        <v>#REF!</v>
      </c>
      <c r="F159" s="144" t="e">
        <f>C159-D159*E3</f>
        <v>#REF!</v>
      </c>
      <c r="G159" s="144" t="e">
        <f t="shared" ref="G159:G163" si="31">C159-D159</f>
        <v>#REF!</v>
      </c>
      <c r="H159" s="51"/>
    </row>
    <row r="160" spans="1:9" ht="16.899999999999999">
      <c r="A160" s="132" t="s">
        <v>57</v>
      </c>
      <c r="B160" s="132" t="e">
        <f>#REF!</f>
        <v>#REF!</v>
      </c>
      <c r="C160" s="118" t="e">
        <f>'总表-数据收集'!#REF!</f>
        <v>#REF!</v>
      </c>
      <c r="D160" s="132">
        <f>目标数据!G20</f>
        <v>60</v>
      </c>
      <c r="E160" s="143" t="e">
        <f t="shared" si="30"/>
        <v>#REF!</v>
      </c>
      <c r="F160" s="144" t="e">
        <f>C160-D160*E3</f>
        <v>#REF!</v>
      </c>
      <c r="G160" s="144" t="e">
        <f t="shared" si="31"/>
        <v>#REF!</v>
      </c>
      <c r="H160" s="51"/>
    </row>
    <row r="161" spans="1:9" ht="16.899999999999999">
      <c r="A161" s="132" t="s">
        <v>58</v>
      </c>
      <c r="B161" s="132" t="e">
        <f>#REF!</f>
        <v>#REF!</v>
      </c>
      <c r="C161" s="118" t="e">
        <f>'总表-数据收集'!#REF!</f>
        <v>#REF!</v>
      </c>
      <c r="D161" s="132">
        <f>目标数据!M20</f>
        <v>500</v>
      </c>
      <c r="E161" s="145" t="e">
        <f t="shared" si="30"/>
        <v>#REF!</v>
      </c>
      <c r="F161" s="144" t="e">
        <f>C161-D161*E3</f>
        <v>#REF!</v>
      </c>
      <c r="G161" s="144" t="e">
        <f t="shared" si="31"/>
        <v>#REF!</v>
      </c>
      <c r="H161" s="51"/>
    </row>
    <row r="162" spans="1:9" ht="16.899999999999999">
      <c r="A162" s="132" t="s">
        <v>59</v>
      </c>
      <c r="B162" s="132" t="e">
        <f>#REF!</f>
        <v>#REF!</v>
      </c>
      <c r="C162" s="118" t="e">
        <f>'总表-数据收集'!#REF!</f>
        <v>#REF!</v>
      </c>
      <c r="D162" s="132">
        <f>目标数据!O20</f>
        <v>50</v>
      </c>
      <c r="E162" s="145" t="e">
        <f t="shared" si="30"/>
        <v>#REF!</v>
      </c>
      <c r="F162" s="144" t="e">
        <f>C162-D162*E3</f>
        <v>#REF!</v>
      </c>
      <c r="G162" s="144" t="e">
        <f t="shared" si="31"/>
        <v>#REF!</v>
      </c>
      <c r="H162" s="51"/>
    </row>
    <row r="163" spans="1:9" ht="16.899999999999999">
      <c r="A163" s="132" t="s">
        <v>60</v>
      </c>
      <c r="B163" s="132" t="e">
        <f>#REF!</f>
        <v>#REF!</v>
      </c>
      <c r="C163" s="118" t="e">
        <f>'总表-数据收集'!#REF!</f>
        <v>#REF!</v>
      </c>
      <c r="D163" s="132">
        <f>目标数据!P20</f>
        <v>15</v>
      </c>
      <c r="E163" s="145" t="e">
        <f t="shared" si="30"/>
        <v>#REF!</v>
      </c>
      <c r="F163" s="144" t="e">
        <f>C163-D163*E3</f>
        <v>#REF!</v>
      </c>
      <c r="G163" s="144" t="e">
        <f t="shared" si="31"/>
        <v>#REF!</v>
      </c>
      <c r="H163" s="51"/>
    </row>
    <row r="164" spans="1:9" ht="16.899999999999999">
      <c r="A164" s="132" t="s">
        <v>61</v>
      </c>
      <c r="B164" s="253" t="e">
        <f>'总表-数据收集'!#REF!</f>
        <v>#REF!</v>
      </c>
      <c r="C164" s="253"/>
      <c r="D164" s="253"/>
      <c r="E164" s="253"/>
      <c r="F164" s="253"/>
      <c r="G164" s="253"/>
    </row>
    <row r="165" spans="1:9" ht="16.899999999999999">
      <c r="A165" s="151" t="s">
        <v>62</v>
      </c>
      <c r="B165" s="254" t="e">
        <f>'总表-数据收集'!#REF!</f>
        <v>#REF!</v>
      </c>
      <c r="C165" s="254"/>
      <c r="D165" s="254"/>
      <c r="E165" s="254"/>
      <c r="F165" s="254"/>
      <c r="G165" s="254"/>
      <c r="H165" s="153"/>
    </row>
    <row r="166" spans="1:9" ht="16.899999999999999">
      <c r="H166" s="58" t="s">
        <v>55</v>
      </c>
    </row>
    <row r="167" spans="1:9" ht="16.899999999999999">
      <c r="A167" s="260" t="str">
        <f>'总表-数据收集'!B21</f>
        <v>花都北站零跑</v>
      </c>
      <c r="B167" s="260"/>
      <c r="C167" s="260"/>
      <c r="D167" s="260"/>
      <c r="E167" s="260"/>
      <c r="F167" s="260"/>
      <c r="G167" s="260"/>
      <c r="H167" s="51"/>
      <c r="I167" s="53">
        <v>21</v>
      </c>
    </row>
    <row r="168" spans="1:9" ht="16.899999999999999">
      <c r="A168" s="124" t="s">
        <v>48</v>
      </c>
      <c r="B168" s="124" t="s">
        <v>49</v>
      </c>
      <c r="C168" s="124" t="s">
        <v>50</v>
      </c>
      <c r="D168" s="124" t="s">
        <v>51</v>
      </c>
      <c r="E168" s="124" t="s">
        <v>52</v>
      </c>
      <c r="F168" s="130" t="s">
        <v>53</v>
      </c>
      <c r="G168" s="130" t="s">
        <v>54</v>
      </c>
      <c r="H168" s="51"/>
    </row>
    <row r="169" spans="1:9" ht="16.899999999999999">
      <c r="A169" s="132" t="s">
        <v>56</v>
      </c>
      <c r="B169" s="132" t="e">
        <f>#REF!</f>
        <v>#REF!</v>
      </c>
      <c r="C169" s="118" t="e">
        <f>'总表-数据收集'!#REF!</f>
        <v>#REF!</v>
      </c>
      <c r="D169" s="132">
        <f>目标数据!F21</f>
        <v>80</v>
      </c>
      <c r="E169" s="145" t="e">
        <f t="shared" ref="E169:E173" si="32">C169/D169</f>
        <v>#REF!</v>
      </c>
      <c r="F169" s="144" t="e">
        <f>C169-D169*E3</f>
        <v>#REF!</v>
      </c>
      <c r="G169" s="144" t="e">
        <f>C169-D169</f>
        <v>#REF!</v>
      </c>
      <c r="H169" s="51"/>
    </row>
    <row r="170" spans="1:9" ht="16.899999999999999">
      <c r="A170" s="132" t="s">
        <v>57</v>
      </c>
      <c r="B170" s="132" t="e">
        <f>#REF!</f>
        <v>#REF!</v>
      </c>
      <c r="C170" s="118" t="e">
        <f>'总表-数据收集'!#REF!</f>
        <v>#REF!</v>
      </c>
      <c r="D170" s="132">
        <f>目标数据!G21</f>
        <v>100</v>
      </c>
      <c r="E170" s="143" t="e">
        <f t="shared" si="32"/>
        <v>#REF!</v>
      </c>
      <c r="F170" s="144" t="e">
        <f>C170-D170*E3</f>
        <v>#REF!</v>
      </c>
      <c r="G170" s="144" t="e">
        <f t="shared" ref="G170:G173" si="33">C170-D170</f>
        <v>#REF!</v>
      </c>
      <c r="H170" s="51"/>
    </row>
    <row r="171" spans="1:9" ht="16.899999999999999">
      <c r="A171" s="132" t="s">
        <v>58</v>
      </c>
      <c r="B171" s="132" t="e">
        <f>#REF!</f>
        <v>#REF!</v>
      </c>
      <c r="C171" s="118" t="e">
        <f>'总表-数据收集'!#REF!</f>
        <v>#REF!</v>
      </c>
      <c r="D171" s="132">
        <f>目标数据!M21</f>
        <v>400</v>
      </c>
      <c r="E171" s="145" t="e">
        <f t="shared" si="32"/>
        <v>#REF!</v>
      </c>
      <c r="F171" s="144" t="e">
        <f>C171-D171*E3</f>
        <v>#REF!</v>
      </c>
      <c r="G171" s="144" t="e">
        <f t="shared" si="33"/>
        <v>#REF!</v>
      </c>
      <c r="H171" s="51"/>
    </row>
    <row r="172" spans="1:9" ht="16.899999999999999">
      <c r="A172" s="132" t="s">
        <v>59</v>
      </c>
      <c r="B172" s="132" t="e">
        <f>#REF!</f>
        <v>#REF!</v>
      </c>
      <c r="C172" s="118" t="e">
        <f>'总表-数据收集'!#REF!</f>
        <v>#REF!</v>
      </c>
      <c r="D172" s="132">
        <f>目标数据!O21</f>
        <v>20</v>
      </c>
      <c r="E172" s="145" t="e">
        <f t="shared" si="32"/>
        <v>#REF!</v>
      </c>
      <c r="F172" s="144" t="e">
        <f>C172-D172*E3</f>
        <v>#REF!</v>
      </c>
      <c r="G172" s="144" t="e">
        <f t="shared" si="33"/>
        <v>#REF!</v>
      </c>
      <c r="H172" s="51"/>
    </row>
    <row r="173" spans="1:9" ht="16.899999999999999">
      <c r="A173" s="132" t="s">
        <v>60</v>
      </c>
      <c r="B173" s="132" t="e">
        <f>#REF!</f>
        <v>#REF!</v>
      </c>
      <c r="C173" s="118" t="e">
        <f>'总表-数据收集'!#REF!</f>
        <v>#REF!</v>
      </c>
      <c r="D173" s="132">
        <f>目标数据!P21</f>
        <v>7</v>
      </c>
      <c r="E173" s="145" t="e">
        <f t="shared" si="32"/>
        <v>#REF!</v>
      </c>
      <c r="F173" s="144" t="e">
        <f>C173-D173*E3</f>
        <v>#REF!</v>
      </c>
      <c r="G173" s="144" t="e">
        <f t="shared" si="33"/>
        <v>#REF!</v>
      </c>
      <c r="H173" s="51"/>
    </row>
    <row r="174" spans="1:9" ht="16.899999999999999">
      <c r="A174" s="132" t="s">
        <v>61</v>
      </c>
      <c r="B174" s="253" t="e">
        <f>'总表-数据收集'!#REF!</f>
        <v>#REF!</v>
      </c>
      <c r="C174" s="253"/>
      <c r="D174" s="253"/>
      <c r="E174" s="253"/>
      <c r="F174" s="253"/>
      <c r="G174" s="253"/>
    </row>
    <row r="175" spans="1:9" ht="16.899999999999999">
      <c r="A175" s="151" t="s">
        <v>62</v>
      </c>
      <c r="B175" s="254" t="e">
        <f>'总表-数据收集'!#REF!</f>
        <v>#REF!</v>
      </c>
      <c r="C175" s="254"/>
      <c r="D175" s="254"/>
      <c r="E175" s="254"/>
      <c r="F175" s="254"/>
      <c r="G175" s="254"/>
      <c r="H175" s="155"/>
    </row>
    <row r="176" spans="1:9" ht="16.899999999999999">
      <c r="H176" s="58" t="s">
        <v>55</v>
      </c>
    </row>
    <row r="177" spans="1:9" ht="16.899999999999999" hidden="1">
      <c r="A177" s="261" t="str">
        <f>'总表-数据收集'!B23</f>
        <v>合计</v>
      </c>
      <c r="B177" s="261"/>
      <c r="C177" s="261"/>
      <c r="D177" s="261"/>
      <c r="E177" s="261"/>
      <c r="F177" s="261"/>
      <c r="G177" s="261"/>
      <c r="H177" s="51"/>
      <c r="I177" s="53">
        <v>22</v>
      </c>
    </row>
    <row r="178" spans="1:9" ht="16.899999999999999" hidden="1">
      <c r="A178" s="124" t="s">
        <v>48</v>
      </c>
      <c r="B178" s="124" t="s">
        <v>49</v>
      </c>
      <c r="C178" s="124" t="s">
        <v>50</v>
      </c>
      <c r="D178" s="124" t="s">
        <v>51</v>
      </c>
      <c r="E178" s="124" t="s">
        <v>52</v>
      </c>
      <c r="F178" s="130" t="s">
        <v>53</v>
      </c>
      <c r="G178" s="130" t="s">
        <v>54</v>
      </c>
      <c r="H178" s="51"/>
    </row>
    <row r="179" spans="1:9" ht="16.899999999999999" hidden="1">
      <c r="A179" s="132" t="s">
        <v>56</v>
      </c>
      <c r="B179" s="132" t="e">
        <f>#REF!</f>
        <v>#REF!</v>
      </c>
      <c r="C179" s="118" t="e">
        <f>'总表-数据收集'!#REF!</f>
        <v>#REF!</v>
      </c>
      <c r="D179" s="132">
        <f>目标数据!F22</f>
        <v>40</v>
      </c>
      <c r="E179" s="145" t="e">
        <f t="shared" ref="E179:E183" si="34">C179/D179</f>
        <v>#REF!</v>
      </c>
      <c r="F179" s="144" t="e">
        <f>C179-D179*E3</f>
        <v>#REF!</v>
      </c>
      <c r="G179" s="144" t="e">
        <f t="shared" ref="G179:G183" si="35">C179-D179</f>
        <v>#REF!</v>
      </c>
      <c r="H179" s="51"/>
    </row>
    <row r="180" spans="1:9" ht="16.899999999999999" hidden="1">
      <c r="A180" s="132" t="s">
        <v>57</v>
      </c>
      <c r="B180" s="132" t="e">
        <f>#REF!</f>
        <v>#REF!</v>
      </c>
      <c r="C180" s="118" t="e">
        <f>'总表-数据收集'!#REF!</f>
        <v>#REF!</v>
      </c>
      <c r="D180" s="132">
        <f>目标数据!G22</f>
        <v>40</v>
      </c>
      <c r="E180" s="143" t="e">
        <f t="shared" si="34"/>
        <v>#REF!</v>
      </c>
      <c r="F180" s="144" t="e">
        <f>C180-D180*E3</f>
        <v>#REF!</v>
      </c>
      <c r="G180" s="144" t="e">
        <f t="shared" si="35"/>
        <v>#REF!</v>
      </c>
      <c r="H180" s="51"/>
    </row>
    <row r="181" spans="1:9" ht="16.899999999999999" hidden="1">
      <c r="A181" s="132" t="s">
        <v>58</v>
      </c>
      <c r="B181" s="132" t="e">
        <f>#REF!</f>
        <v>#REF!</v>
      </c>
      <c r="C181" s="118" t="e">
        <f>'总表-数据收集'!#REF!</f>
        <v>#REF!</v>
      </c>
      <c r="D181" s="132">
        <f>目标数据!M22</f>
        <v>250</v>
      </c>
      <c r="E181" s="145" t="e">
        <f t="shared" si="34"/>
        <v>#REF!</v>
      </c>
      <c r="F181" s="144" t="e">
        <f>C181-D181*E3</f>
        <v>#REF!</v>
      </c>
      <c r="G181" s="144" t="e">
        <f t="shared" si="35"/>
        <v>#REF!</v>
      </c>
      <c r="H181" s="51"/>
    </row>
    <row r="182" spans="1:9" ht="16.899999999999999" hidden="1">
      <c r="A182" s="132" t="s">
        <v>59</v>
      </c>
      <c r="B182" s="132" t="e">
        <f>#REF!</f>
        <v>#REF!</v>
      </c>
      <c r="C182" s="118" t="e">
        <f>'总表-数据收集'!#REF!</f>
        <v>#REF!</v>
      </c>
      <c r="D182" s="132">
        <f>目标数据!O22</f>
        <v>8</v>
      </c>
      <c r="E182" s="145" t="e">
        <f t="shared" si="34"/>
        <v>#REF!</v>
      </c>
      <c r="F182" s="144" t="e">
        <f>C182-D182*E3</f>
        <v>#REF!</v>
      </c>
      <c r="G182" s="144" t="e">
        <f t="shared" si="35"/>
        <v>#REF!</v>
      </c>
      <c r="H182" s="51"/>
    </row>
    <row r="183" spans="1:9" ht="16.899999999999999" hidden="1">
      <c r="A183" s="132" t="s">
        <v>60</v>
      </c>
      <c r="B183" s="132" t="e">
        <f>#REF!</f>
        <v>#REF!</v>
      </c>
      <c r="C183" s="118" t="e">
        <f>'总表-数据收集'!#REF!</f>
        <v>#REF!</v>
      </c>
      <c r="D183" s="132">
        <f>目标数据!P22</f>
        <v>2</v>
      </c>
      <c r="E183" s="145" t="e">
        <f t="shared" si="34"/>
        <v>#REF!</v>
      </c>
      <c r="F183" s="144" t="e">
        <f>C183-D183*E3</f>
        <v>#REF!</v>
      </c>
      <c r="G183" s="144" t="e">
        <f t="shared" si="35"/>
        <v>#REF!</v>
      </c>
      <c r="H183" s="51"/>
    </row>
    <row r="184" spans="1:9" ht="16.899999999999999" hidden="1">
      <c r="A184" s="132" t="s">
        <v>61</v>
      </c>
      <c r="B184" s="253">
        <v>0.03</v>
      </c>
      <c r="C184" s="253"/>
      <c r="D184" s="253"/>
      <c r="E184" s="253"/>
      <c r="F184" s="253"/>
      <c r="G184" s="253"/>
    </row>
    <row r="185" spans="1:9" ht="16.899999999999999" hidden="1">
      <c r="A185" s="151" t="s">
        <v>62</v>
      </c>
      <c r="B185" s="254" t="e">
        <f>'总表-数据收集'!#REF!</f>
        <v>#REF!</v>
      </c>
      <c r="C185" s="254"/>
      <c r="D185" s="254"/>
      <c r="E185" s="254"/>
      <c r="F185" s="254"/>
      <c r="G185" s="254"/>
    </row>
    <row r="186" spans="1:9" ht="16.899999999999999">
      <c r="A186" s="262" t="str">
        <f>'总表-数据收集'!B22</f>
        <v>清远智己</v>
      </c>
      <c r="B186" s="262"/>
      <c r="C186" s="262"/>
      <c r="D186" s="262"/>
      <c r="E186" s="262"/>
      <c r="F186" s="262"/>
      <c r="G186" s="262"/>
      <c r="I186" s="53">
        <v>22</v>
      </c>
    </row>
    <row r="187" spans="1:9" ht="16.899999999999999">
      <c r="A187" s="124" t="s">
        <v>48</v>
      </c>
      <c r="B187" s="124" t="s">
        <v>49</v>
      </c>
      <c r="C187" s="124" t="s">
        <v>50</v>
      </c>
      <c r="D187" s="124" t="s">
        <v>51</v>
      </c>
      <c r="E187" s="124" t="s">
        <v>52</v>
      </c>
      <c r="F187" s="130" t="s">
        <v>53</v>
      </c>
      <c r="G187" s="130" t="s">
        <v>54</v>
      </c>
    </row>
    <row r="188" spans="1:9" ht="16.899999999999999">
      <c r="A188" s="132" t="s">
        <v>56</v>
      </c>
      <c r="B188" s="132" t="e">
        <f>#REF!</f>
        <v>#REF!</v>
      </c>
      <c r="C188" s="118" t="e">
        <f>'总表-数据收集'!#REF!</f>
        <v>#REF!</v>
      </c>
      <c r="D188" s="132">
        <f>目标数据!F22</f>
        <v>40</v>
      </c>
      <c r="E188" s="143" t="e">
        <f t="shared" ref="E188:E192" si="36">C188/D188</f>
        <v>#REF!</v>
      </c>
      <c r="F188" s="144" t="e">
        <f>C188-D188*E3</f>
        <v>#REF!</v>
      </c>
      <c r="G188" s="144" t="e">
        <f t="shared" ref="G188:G192" si="37">C188-D188</f>
        <v>#REF!</v>
      </c>
    </row>
    <row r="189" spans="1:9" ht="16.899999999999999">
      <c r="A189" s="132" t="s">
        <v>57</v>
      </c>
      <c r="B189" s="132" t="e">
        <f>#REF!</f>
        <v>#REF!</v>
      </c>
      <c r="C189" s="118" t="e">
        <f>'总表-数据收集'!#REF!</f>
        <v>#REF!</v>
      </c>
      <c r="D189" s="132">
        <f>目标数据!G22</f>
        <v>40</v>
      </c>
      <c r="E189" s="145" t="e">
        <f t="shared" si="36"/>
        <v>#REF!</v>
      </c>
      <c r="F189" s="144" t="e">
        <f>C189-D189*E3</f>
        <v>#REF!</v>
      </c>
      <c r="G189" s="144" t="e">
        <f t="shared" si="37"/>
        <v>#REF!</v>
      </c>
    </row>
    <row r="190" spans="1:9" ht="16.899999999999999">
      <c r="A190" s="132" t="s">
        <v>58</v>
      </c>
      <c r="B190" s="132" t="e">
        <f>#REF!</f>
        <v>#REF!</v>
      </c>
      <c r="C190" s="118" t="e">
        <f>'总表-数据收集'!#REF!</f>
        <v>#REF!</v>
      </c>
      <c r="D190" s="132">
        <f>目标数据!M22</f>
        <v>250</v>
      </c>
      <c r="E190" s="145" t="e">
        <f t="shared" si="36"/>
        <v>#REF!</v>
      </c>
      <c r="F190" s="144" t="e">
        <f>C190-D190*E3</f>
        <v>#REF!</v>
      </c>
      <c r="G190" s="144" t="e">
        <f t="shared" si="37"/>
        <v>#REF!</v>
      </c>
    </row>
    <row r="191" spans="1:9" ht="16.899999999999999">
      <c r="A191" s="132" t="s">
        <v>59</v>
      </c>
      <c r="B191" s="132" t="e">
        <f>#REF!</f>
        <v>#REF!</v>
      </c>
      <c r="C191" s="118" t="e">
        <f>'总表-数据收集'!#REF!</f>
        <v>#REF!</v>
      </c>
      <c r="D191" s="132">
        <f>目标数据!O22</f>
        <v>8</v>
      </c>
      <c r="E191" s="145" t="e">
        <f t="shared" si="36"/>
        <v>#REF!</v>
      </c>
      <c r="F191" s="144" t="e">
        <f>C191-D191*E3</f>
        <v>#REF!</v>
      </c>
      <c r="G191" s="144" t="e">
        <f t="shared" si="37"/>
        <v>#REF!</v>
      </c>
    </row>
    <row r="192" spans="1:9" ht="16.899999999999999">
      <c r="A192" s="132" t="s">
        <v>60</v>
      </c>
      <c r="B192" s="132" t="e">
        <f>#REF!</f>
        <v>#REF!</v>
      </c>
      <c r="C192" s="118" t="e">
        <f>'总表-数据收集'!#REF!</f>
        <v>#REF!</v>
      </c>
      <c r="D192" s="132">
        <f>目标数据!P22</f>
        <v>2</v>
      </c>
      <c r="E192" s="145" t="e">
        <f t="shared" si="36"/>
        <v>#REF!</v>
      </c>
      <c r="F192" s="144" t="e">
        <f>C192-D192*E3</f>
        <v>#REF!</v>
      </c>
      <c r="G192" s="144" t="e">
        <f t="shared" si="37"/>
        <v>#REF!</v>
      </c>
    </row>
    <row r="193" spans="1:7" ht="16.899999999999999">
      <c r="A193" s="132" t="s">
        <v>61</v>
      </c>
      <c r="B193" s="253" t="e">
        <f>'总表-数据收集'!#REF!</f>
        <v>#REF!</v>
      </c>
      <c r="C193" s="253"/>
      <c r="D193" s="253"/>
      <c r="E193" s="253"/>
      <c r="F193" s="253"/>
      <c r="G193" s="253"/>
    </row>
    <row r="194" spans="1:7" ht="16.899999999999999">
      <c r="A194" s="151" t="s">
        <v>62</v>
      </c>
      <c r="B194" s="254" t="e">
        <f>'总表-数据收集'!#REF!</f>
        <v>#REF!</v>
      </c>
      <c r="C194" s="254"/>
      <c r="D194" s="254"/>
      <c r="E194" s="254"/>
      <c r="F194" s="254"/>
      <c r="G194" s="254"/>
    </row>
  </sheetData>
  <mergeCells count="68">
    <mergeCell ref="B193:G193"/>
    <mergeCell ref="B194:G194"/>
    <mergeCell ref="A1:H2"/>
    <mergeCell ref="B175:G175"/>
    <mergeCell ref="A177:G177"/>
    <mergeCell ref="B184:G184"/>
    <mergeCell ref="B185:G185"/>
    <mergeCell ref="A186:G186"/>
    <mergeCell ref="A157:G157"/>
    <mergeCell ref="B164:G164"/>
    <mergeCell ref="B165:G165"/>
    <mergeCell ref="A167:G167"/>
    <mergeCell ref="B174:G174"/>
    <mergeCell ref="B144:G144"/>
    <mergeCell ref="B145:G145"/>
    <mergeCell ref="A147:G147"/>
    <mergeCell ref="B154:G154"/>
    <mergeCell ref="B155:G155"/>
    <mergeCell ref="B125:G125"/>
    <mergeCell ref="A127:G127"/>
    <mergeCell ref="B134:G134"/>
    <mergeCell ref="B135:G135"/>
    <mergeCell ref="A137:G137"/>
    <mergeCell ref="A107:G107"/>
    <mergeCell ref="B114:G114"/>
    <mergeCell ref="B115:G115"/>
    <mergeCell ref="A117:G117"/>
    <mergeCell ref="B124:G124"/>
    <mergeCell ref="B95:G95"/>
    <mergeCell ref="A96:G96"/>
    <mergeCell ref="A97:G97"/>
    <mergeCell ref="B104:G104"/>
    <mergeCell ref="B105:G105"/>
    <mergeCell ref="B84:G84"/>
    <mergeCell ref="B85:G85"/>
    <mergeCell ref="A86:G86"/>
    <mergeCell ref="A87:G87"/>
    <mergeCell ref="B94:G94"/>
    <mergeCell ref="A67:G67"/>
    <mergeCell ref="B74:G74"/>
    <mergeCell ref="B75:G75"/>
    <mergeCell ref="A76:G76"/>
    <mergeCell ref="A77:G77"/>
    <mergeCell ref="A56:G56"/>
    <mergeCell ref="A57:G57"/>
    <mergeCell ref="B64:G64"/>
    <mergeCell ref="B65:G65"/>
    <mergeCell ref="A66:G66"/>
    <mergeCell ref="B45:G45"/>
    <mergeCell ref="A46:G46"/>
    <mergeCell ref="A47:G47"/>
    <mergeCell ref="B54:G54"/>
    <mergeCell ref="B55:G55"/>
    <mergeCell ref="B33:G33"/>
    <mergeCell ref="B34:G34"/>
    <mergeCell ref="A36:G36"/>
    <mergeCell ref="A37:G37"/>
    <mergeCell ref="B44:G44"/>
    <mergeCell ref="A16:H16"/>
    <mergeCell ref="B23:G23"/>
    <mergeCell ref="B24:G24"/>
    <mergeCell ref="A25:G25"/>
    <mergeCell ref="A26:G26"/>
    <mergeCell ref="B3:C3"/>
    <mergeCell ref="A4:H4"/>
    <mergeCell ref="B11:G11"/>
    <mergeCell ref="B12:G12"/>
    <mergeCell ref="A15:G15"/>
  </mergeCells>
  <phoneticPr fontId="27" type="noConversion"/>
  <conditionalFormatting sqref="A26">
    <cfRule type="colorScale" priority="33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67">
    <cfRule type="colorScale" priority="3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3">
    <cfRule type="dataBar" priority="7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{6280B6C1-D8C7-4D0B-9769-F0695840CF8D}</x14:id>
        </ext>
      </extLst>
    </cfRule>
    <cfRule type="dataBar" priority="7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{C8750134-F143-427D-8F79-6F853F465CC0}</x14:id>
        </ext>
      </extLst>
    </cfRule>
  </conditionalFormatting>
  <conditionalFormatting sqref="E6:E10">
    <cfRule type="dataBar" priority="91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{2D1015A4-2299-4EEA-814C-3A9075C62CD3}</x14:id>
        </ext>
      </extLst>
    </cfRule>
    <cfRule type="dataBar" priority="9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{BA2DBF77-0CFC-434E-A8D2-7B183A006D13}</x14:id>
        </ext>
      </extLst>
    </cfRule>
  </conditionalFormatting>
  <conditionalFormatting sqref="E18:E22">
    <cfRule type="dataBar" priority="152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{6ABB6B0E-5261-4B69-B04C-E144B63ADE58}</x14:id>
        </ext>
      </extLst>
    </cfRule>
    <cfRule type="dataBar" priority="15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{9A5AE237-7089-4DA0-A8A0-32C5F3DFA834}</x14:id>
        </ext>
      </extLst>
    </cfRule>
  </conditionalFormatting>
  <conditionalFormatting sqref="E28:E32">
    <cfRule type="dataBar" priority="150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{2852C8E8-CB52-4582-9D06-5EAF3CA0A96B}</x14:id>
        </ext>
      </extLst>
    </cfRule>
    <cfRule type="dataBar" priority="15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{9BAB4245-A4A1-461D-897A-E55227F89902}</x14:id>
        </ext>
      </extLst>
    </cfRule>
  </conditionalFormatting>
  <conditionalFormatting sqref="E39:E43">
    <cfRule type="dataBar" priority="148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{5CEEB708-AC65-43AE-B324-8587185E28DC}</x14:id>
        </ext>
      </extLst>
    </cfRule>
    <cfRule type="dataBar" priority="14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{D1C59B54-3395-49B6-81FB-4BCB28033A79}</x14:id>
        </ext>
      </extLst>
    </cfRule>
  </conditionalFormatting>
  <conditionalFormatting sqref="E49:E53">
    <cfRule type="dataBar" priority="146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{7CF2B5AA-9D82-4A03-A35E-8D32A1178CC8}</x14:id>
        </ext>
      </extLst>
    </cfRule>
    <cfRule type="dataBar" priority="14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{BABF2751-325A-4F73-B02B-F508B324C00D}</x14:id>
        </ext>
      </extLst>
    </cfRule>
  </conditionalFormatting>
  <conditionalFormatting sqref="E59:E63">
    <cfRule type="dataBar" priority="144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{45AECB69-889B-4F7B-B6E8-10F35C97CB8B}</x14:id>
        </ext>
      </extLst>
    </cfRule>
    <cfRule type="dataBar" priority="14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{1370375D-3A4E-4D74-BCE3-2C511A84B21E}</x14:id>
        </ext>
      </extLst>
    </cfRule>
  </conditionalFormatting>
  <conditionalFormatting sqref="E69:E73">
    <cfRule type="dataBar" priority="142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{228E6FA8-D0B8-45A5-94BD-221F31BBB861}</x14:id>
        </ext>
      </extLst>
    </cfRule>
    <cfRule type="dataBar" priority="14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{0504AD48-956A-496F-8358-DEF964DDDBAE}</x14:id>
        </ext>
      </extLst>
    </cfRule>
  </conditionalFormatting>
  <conditionalFormatting sqref="E79:E83">
    <cfRule type="dataBar" priority="140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{483717BC-55E9-468D-A597-589C357C2473}</x14:id>
        </ext>
      </extLst>
    </cfRule>
    <cfRule type="dataBar" priority="14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{E58EC0A4-3726-4739-AC2A-52AD44870C06}</x14:id>
        </ext>
      </extLst>
    </cfRule>
  </conditionalFormatting>
  <conditionalFormatting sqref="E89:E93">
    <cfRule type="dataBar" priority="136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{47CC691B-6E74-4B8B-91C8-3FD0B8925952}</x14:id>
        </ext>
      </extLst>
    </cfRule>
    <cfRule type="dataBar" priority="13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{ABC4E59A-A12E-4538-81DF-787398E34024}</x14:id>
        </ext>
      </extLst>
    </cfRule>
  </conditionalFormatting>
  <conditionalFormatting sqref="E99:E103">
    <cfRule type="dataBar" priority="6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{4FFA5361-A66B-4650-971A-F7C695DCF220}</x14:id>
        </ext>
      </extLst>
    </cfRule>
    <cfRule type="dataBar" priority="6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{A7A5DDB7-8D37-4D6F-A254-9FF0338DD69A}</x14:id>
        </ext>
      </extLst>
    </cfRule>
  </conditionalFormatting>
  <conditionalFormatting sqref="E109:E113">
    <cfRule type="dataBar" priority="59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{6671FAE7-2C37-487D-8AA4-165774234498}</x14:id>
        </ext>
      </extLst>
    </cfRule>
    <cfRule type="dataBar" priority="6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{9C034C49-D875-4186-8678-9846026DBDBE}</x14:id>
        </ext>
      </extLst>
    </cfRule>
  </conditionalFormatting>
  <conditionalFormatting sqref="E119:E123">
    <cfRule type="dataBar" priority="5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{6911CCB5-C5FF-485A-B1AE-6EECE275B969}</x14:id>
        </ext>
      </extLst>
    </cfRule>
    <cfRule type="dataBar" priority="5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{C8A87947-9CEB-4872-AA52-257F8B77399A}</x14:id>
        </ext>
      </extLst>
    </cfRule>
  </conditionalFormatting>
  <conditionalFormatting sqref="E129:E133">
    <cfRule type="dataBar" priority="4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{E775F07D-5254-4A1B-BA3B-440B9B35E424}</x14:id>
        </ext>
      </extLst>
    </cfRule>
    <cfRule type="dataBar" priority="4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{40F3C02C-05E8-4DBE-BACC-E4D3361C2A5C}</x14:id>
        </ext>
      </extLst>
    </cfRule>
  </conditionalFormatting>
  <conditionalFormatting sqref="E139:E143">
    <cfRule type="dataBar" priority="2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{662A7445-4130-4ED4-A280-CCF62DF19F8C}</x14:id>
        </ext>
      </extLst>
    </cfRule>
    <cfRule type="dataBar" priority="2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{7E62DD9E-71A2-4E05-88EE-B4B2036DF54B}</x14:id>
        </ext>
      </extLst>
    </cfRule>
  </conditionalFormatting>
  <conditionalFormatting sqref="E149:E153">
    <cfRule type="dataBar" priority="3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{9E786D71-4339-48AD-8B61-167F6ED4C4BA}</x14:id>
        </ext>
      </extLst>
    </cfRule>
    <cfRule type="dataBar" priority="3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{19BB92E0-C69E-492F-A32B-95742E52F3C8}</x14:id>
        </ext>
      </extLst>
    </cfRule>
  </conditionalFormatting>
  <conditionalFormatting sqref="E159:E163">
    <cfRule type="dataBar" priority="29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{5544DE32-0FAC-4507-A7D3-F850AC917E47}</x14:id>
        </ext>
      </extLst>
    </cfRule>
    <cfRule type="dataBar" priority="3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{6A11B529-DF53-48E4-9CED-80F98F5627C4}</x14:id>
        </ext>
      </extLst>
    </cfRule>
  </conditionalFormatting>
  <conditionalFormatting sqref="E169:E173">
    <cfRule type="dataBar" priority="1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{54F08B39-E7B4-4025-9A17-D2EC06D655E4}</x14:id>
        </ext>
      </extLst>
    </cfRule>
    <cfRule type="dataBar" priority="1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{C5BD73FA-09B2-45DD-AA3D-A13D55B33BB6}</x14:id>
        </ext>
      </extLst>
    </cfRule>
  </conditionalFormatting>
  <conditionalFormatting sqref="E179:E183">
    <cfRule type="dataBar" priority="11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{D69FD784-B5CB-414A-9678-BEA7B0A28DE6}</x14:id>
        </ext>
      </extLst>
    </cfRule>
    <cfRule type="dataBar" priority="1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{F63D82D5-2D7F-40F3-9ABE-3982EEBD5E6F}</x14:id>
        </ext>
      </extLst>
    </cfRule>
  </conditionalFormatting>
  <conditionalFormatting sqref="E188:E192">
    <cfRule type="dataBar" priority="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{E69AF6AD-983B-47A6-8E1A-F95974354EFB}</x14:id>
        </ext>
      </extLst>
    </cfRule>
    <cfRule type="dataBar" priority="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{B49C9B4B-DA1B-48D5-8E6C-68F098CDA19B}</x14:id>
        </ext>
      </extLst>
    </cfRule>
  </conditionalFormatting>
  <conditionalFormatting sqref="F18:F22">
    <cfRule type="iconSet" priority="90">
      <iconSet iconSet="3Arrows">
        <cfvo type="percent" val="0"/>
        <cfvo type="num" val="0"/>
        <cfvo type="num" val="0"/>
      </iconSet>
    </cfRule>
  </conditionalFormatting>
  <conditionalFormatting sqref="F28:F32">
    <cfRule type="iconSet" priority="89">
      <iconSet iconSet="3Arrows">
        <cfvo type="percent" val="0"/>
        <cfvo type="num" val="0"/>
        <cfvo type="num" val="0"/>
      </iconSet>
    </cfRule>
  </conditionalFormatting>
  <conditionalFormatting sqref="F39:F43">
    <cfRule type="iconSet" priority="88">
      <iconSet iconSet="3Arrows">
        <cfvo type="percent" val="0"/>
        <cfvo type="num" val="0"/>
        <cfvo type="num" val="0"/>
      </iconSet>
    </cfRule>
  </conditionalFormatting>
  <conditionalFormatting sqref="F49:F53">
    <cfRule type="iconSet" priority="87">
      <iconSet iconSet="3Arrows">
        <cfvo type="percent" val="0"/>
        <cfvo type="num" val="0"/>
        <cfvo type="num" val="0"/>
      </iconSet>
    </cfRule>
  </conditionalFormatting>
  <conditionalFormatting sqref="F59:F63">
    <cfRule type="iconSet" priority="86">
      <iconSet iconSet="3Arrows">
        <cfvo type="percent" val="0"/>
        <cfvo type="num" val="0"/>
        <cfvo type="num" val="0"/>
      </iconSet>
    </cfRule>
  </conditionalFormatting>
  <conditionalFormatting sqref="F69:F73">
    <cfRule type="iconSet" priority="85">
      <iconSet iconSet="3Arrows">
        <cfvo type="percent" val="0"/>
        <cfvo type="num" val="0"/>
        <cfvo type="num" val="0"/>
      </iconSet>
    </cfRule>
  </conditionalFormatting>
  <conditionalFormatting sqref="F79:F83">
    <cfRule type="iconSet" priority="84">
      <iconSet iconSet="3Arrows">
        <cfvo type="percent" val="0"/>
        <cfvo type="num" val="0"/>
        <cfvo type="num" val="0"/>
      </iconSet>
    </cfRule>
  </conditionalFormatting>
  <conditionalFormatting sqref="F89:F93">
    <cfRule type="iconSet" priority="82">
      <iconSet iconSet="3Arrows">
        <cfvo type="percent" val="0"/>
        <cfvo type="num" val="0"/>
        <cfvo type="num" val="0" gte="0"/>
      </iconSet>
    </cfRule>
  </conditionalFormatting>
  <conditionalFormatting sqref="F99:F103">
    <cfRule type="iconSet" priority="61">
      <iconSet iconSet="3Arrows">
        <cfvo type="percent" val="0"/>
        <cfvo type="num" val="0"/>
        <cfvo type="num" val="0" gte="0"/>
      </iconSet>
    </cfRule>
  </conditionalFormatting>
  <conditionalFormatting sqref="F109:F113">
    <cfRule type="iconSet" priority="55">
      <iconSet iconSet="3Arrows">
        <cfvo type="percent" val="0"/>
        <cfvo type="num" val="0"/>
        <cfvo type="num" val="0" gte="0"/>
      </iconSet>
    </cfRule>
  </conditionalFormatting>
  <conditionalFormatting sqref="F119:F123">
    <cfRule type="iconSet" priority="49">
      <iconSet iconSet="3Arrows">
        <cfvo type="percent" val="0"/>
        <cfvo type="num" val="0"/>
        <cfvo type="num" val="0" gte="0"/>
      </iconSet>
    </cfRule>
  </conditionalFormatting>
  <conditionalFormatting sqref="F129:F133">
    <cfRule type="iconSet" priority="43">
      <iconSet iconSet="3Arrows">
        <cfvo type="percent" val="0"/>
        <cfvo type="num" val="0"/>
        <cfvo type="num" val="0" gte="0"/>
      </iconSet>
    </cfRule>
  </conditionalFormatting>
  <conditionalFormatting sqref="F139:F143">
    <cfRule type="iconSet" priority="19">
      <iconSet iconSet="3Arrows">
        <cfvo type="percent" val="0"/>
        <cfvo type="num" val="0"/>
        <cfvo type="num" val="0" gte="0"/>
      </iconSet>
    </cfRule>
  </conditionalFormatting>
  <conditionalFormatting sqref="F149:F153">
    <cfRule type="iconSet" priority="31">
      <iconSet iconSet="3Arrows">
        <cfvo type="percent" val="0"/>
        <cfvo type="num" val="0"/>
        <cfvo type="num" val="0" gte="0"/>
      </iconSet>
    </cfRule>
  </conditionalFormatting>
  <conditionalFormatting sqref="F159:F163">
    <cfRule type="iconSet" priority="25">
      <iconSet iconSet="3Arrows">
        <cfvo type="percent" val="0"/>
        <cfvo type="num" val="0"/>
        <cfvo type="num" val="0" gte="0"/>
      </iconSet>
    </cfRule>
  </conditionalFormatting>
  <conditionalFormatting sqref="F169:F173">
    <cfRule type="iconSet" priority="13">
      <iconSet iconSet="3Arrows">
        <cfvo type="percent" val="0"/>
        <cfvo type="num" val="0"/>
        <cfvo type="num" val="0" gte="0"/>
      </iconSet>
    </cfRule>
  </conditionalFormatting>
  <conditionalFormatting sqref="F179:F183">
    <cfRule type="iconSet" priority="7">
      <iconSet iconSet="3Arrows">
        <cfvo type="percent" val="0"/>
        <cfvo type="num" val="0"/>
        <cfvo type="num" val="0" gte="0"/>
      </iconSet>
    </cfRule>
  </conditionalFormatting>
  <conditionalFormatting sqref="F188:F192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F3:G3">
    <cfRule type="dataBar" priority="331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{DC53AEAD-8867-4B31-BB85-779AAE848FD5}</x14:id>
        </ext>
      </extLst>
    </cfRule>
    <cfRule type="dataBar" priority="33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{B1378548-CC81-4666-BCD0-D668FA9AAD1E}</x14:id>
        </ext>
      </extLst>
    </cfRule>
  </conditionalFormatting>
  <conditionalFormatting sqref="F6:G10">
    <cfRule type="iconSet" priority="135">
      <iconSet iconSet="3Arrows">
        <cfvo type="percent" val="0"/>
        <cfvo type="num" val="0"/>
        <cfvo type="num" val="0"/>
      </iconSet>
    </cfRule>
  </conditionalFormatting>
  <conditionalFormatting sqref="G18:G22">
    <cfRule type="iconSet" priority="129">
      <iconSet iconSet="3Arrows">
        <cfvo type="percent" val="0"/>
        <cfvo type="num" val="0"/>
        <cfvo type="num" val="0"/>
      </iconSet>
    </cfRule>
    <cfRule type="dataBar" priority="130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{6758DF6C-4A64-406B-B41D-67867E7B9DEF}</x14:id>
        </ext>
      </extLst>
    </cfRule>
    <cfRule type="dataBar" priority="13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{042A2F1D-72F5-4F4B-AA9D-3DB6115D8BB1}</x14:id>
        </ext>
      </extLst>
    </cfRule>
  </conditionalFormatting>
  <conditionalFormatting sqref="G28:G32">
    <cfRule type="iconSet" priority="125">
      <iconSet iconSet="3Arrows">
        <cfvo type="percent" val="0"/>
        <cfvo type="num" val="0"/>
        <cfvo type="num" val="0"/>
      </iconSet>
    </cfRule>
    <cfRule type="dataBar" priority="126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{7E83244C-9167-4919-8435-D1BC6572E672}</x14:id>
        </ext>
      </extLst>
    </cfRule>
    <cfRule type="dataBar" priority="12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{17D4A9DA-A6EC-4DCA-9D21-5E15E321648E}</x14:id>
        </ext>
      </extLst>
    </cfRule>
  </conditionalFormatting>
  <conditionalFormatting sqref="G39:G43">
    <cfRule type="iconSet" priority="121">
      <iconSet iconSet="3Arrows">
        <cfvo type="percent" val="0"/>
        <cfvo type="num" val="0"/>
        <cfvo type="num" val="0"/>
      </iconSet>
    </cfRule>
    <cfRule type="dataBar" priority="122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{B1D24EEC-3B5F-4FAD-BB45-99FC19CC5DDE}</x14:id>
        </ext>
      </extLst>
    </cfRule>
    <cfRule type="dataBar" priority="12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{ABC3973D-E7D8-4EB9-A7E1-A369EFA0BE48}</x14:id>
        </ext>
      </extLst>
    </cfRule>
  </conditionalFormatting>
  <conditionalFormatting sqref="G49:G53">
    <cfRule type="iconSet" priority="117">
      <iconSet iconSet="3Arrows">
        <cfvo type="percent" val="0"/>
        <cfvo type="num" val="0"/>
        <cfvo type="num" val="0"/>
      </iconSet>
    </cfRule>
    <cfRule type="dataBar" priority="118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{3EDD793B-D645-4888-91F3-8FD9515E251E}</x14:id>
        </ext>
      </extLst>
    </cfRule>
    <cfRule type="dataBar" priority="11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{ABCE42FC-0D3F-48BD-A4AF-70AE98D4FA7E}</x14:id>
        </ext>
      </extLst>
    </cfRule>
  </conditionalFormatting>
  <conditionalFormatting sqref="G59:G63">
    <cfRule type="iconSet" priority="113">
      <iconSet iconSet="3Arrows">
        <cfvo type="percent" val="0"/>
        <cfvo type="num" val="0"/>
        <cfvo type="num" val="0"/>
      </iconSet>
    </cfRule>
    <cfRule type="dataBar" priority="114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{8935EEC3-4F3C-4234-9DC4-7989C7E4E70E}</x14:id>
        </ext>
      </extLst>
    </cfRule>
    <cfRule type="dataBar" priority="11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{B1145776-F7E4-46D7-96E3-ED403EB0E1C2}</x14:id>
        </ext>
      </extLst>
    </cfRule>
  </conditionalFormatting>
  <conditionalFormatting sqref="G69:G73">
    <cfRule type="iconSet" priority="109">
      <iconSet iconSet="3Arrows">
        <cfvo type="percent" val="0"/>
        <cfvo type="num" val="0"/>
        <cfvo type="num" val="0"/>
      </iconSet>
    </cfRule>
    <cfRule type="dataBar" priority="110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{89C39731-A4CB-456A-9393-28C516DDE390}</x14:id>
        </ext>
      </extLst>
    </cfRule>
    <cfRule type="dataBar" priority="11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{C2C3C145-E0AD-4F56-89B9-5DB58511E907}</x14:id>
        </ext>
      </extLst>
    </cfRule>
  </conditionalFormatting>
  <conditionalFormatting sqref="G79:G83">
    <cfRule type="iconSet" priority="105">
      <iconSet iconSet="3Arrows">
        <cfvo type="percent" val="0"/>
        <cfvo type="num" val="0"/>
        <cfvo type="num" val="0"/>
      </iconSet>
    </cfRule>
    <cfRule type="dataBar" priority="106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{0ED34B4B-FE52-4D18-838F-DD4AFD699484}</x14:id>
        </ext>
      </extLst>
    </cfRule>
    <cfRule type="dataBar" priority="10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{FEF9065F-5672-4AC5-B339-F748858F9848}</x14:id>
        </ext>
      </extLst>
    </cfRule>
  </conditionalFormatting>
  <conditionalFormatting sqref="G89:G93">
    <cfRule type="iconSet" priority="97">
      <iconSet iconSet="3Arrows">
        <cfvo type="percent" val="0"/>
        <cfvo type="num" val="0"/>
        <cfvo type="num" val="0"/>
      </iconSet>
    </cfRule>
    <cfRule type="dataBar" priority="98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{45E6403A-6071-4906-B96D-41CD3A9F59FA}</x14:id>
        </ext>
      </extLst>
    </cfRule>
    <cfRule type="dataBar" priority="9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{120C9B0F-8F1F-4C6F-92F3-86829F035D89}</x14:id>
        </ext>
      </extLst>
    </cfRule>
  </conditionalFormatting>
  <conditionalFormatting sqref="G99:G103">
    <cfRule type="iconSet" priority="62">
      <iconSet iconSet="3Arrows">
        <cfvo type="percent" val="0"/>
        <cfvo type="num" val="0"/>
        <cfvo type="num" val="0"/>
      </iconSet>
    </cfRule>
    <cfRule type="dataBar" priority="6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{C888049E-C1FE-4796-A113-D29DE461BBEC}</x14:id>
        </ext>
      </extLst>
    </cfRule>
    <cfRule type="dataBar" priority="6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{89C64C0A-27AC-4C5A-A7B1-34D0D47F1D9D}</x14:id>
        </ext>
      </extLst>
    </cfRule>
  </conditionalFormatting>
  <conditionalFormatting sqref="G109:G113">
    <cfRule type="iconSet" priority="56">
      <iconSet iconSet="3Arrows">
        <cfvo type="percent" val="0"/>
        <cfvo type="num" val="0"/>
        <cfvo type="num" val="0"/>
      </iconSet>
    </cfRule>
    <cfRule type="dataBar" priority="5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{95AD54CE-3E92-4DD6-88DC-52C2B1A8035B}</x14:id>
        </ext>
      </extLst>
    </cfRule>
    <cfRule type="dataBar" priority="5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{EB25037A-389E-4E91-A1E2-E5EB90C8B958}</x14:id>
        </ext>
      </extLst>
    </cfRule>
  </conditionalFormatting>
  <conditionalFormatting sqref="G119:G123">
    <cfRule type="iconSet" priority="50">
      <iconSet iconSet="3Arrows">
        <cfvo type="percent" val="0"/>
        <cfvo type="num" val="0"/>
        <cfvo type="num" val="0"/>
      </iconSet>
    </cfRule>
    <cfRule type="dataBar" priority="51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{2431AB67-7CB4-4A8B-A1FB-0244758295E6}</x14:id>
        </ext>
      </extLst>
    </cfRule>
    <cfRule type="dataBar" priority="5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{88588280-4E00-4042-8266-3391249DD33F}</x14:id>
        </ext>
      </extLst>
    </cfRule>
  </conditionalFormatting>
  <conditionalFormatting sqref="G129:G133">
    <cfRule type="iconSet" priority="44">
      <iconSet iconSet="3Arrows">
        <cfvo type="percent" val="0"/>
        <cfvo type="num" val="0"/>
        <cfvo type="num" val="0"/>
      </iconSet>
    </cfRule>
    <cfRule type="dataBar" priority="4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{661A0CF4-699C-436B-9AD1-8BD50E766EFA}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{374EE1A7-9266-44A1-8209-E89B85C9667F}</x14:id>
        </ext>
      </extLst>
    </cfRule>
  </conditionalFormatting>
  <conditionalFormatting sqref="G139:G143">
    <cfRule type="iconSet" priority="20">
      <iconSet iconSet="3Arrows">
        <cfvo type="percent" val="0"/>
        <cfvo type="num" val="0"/>
        <cfvo type="num" val="0"/>
      </iconSet>
    </cfRule>
    <cfRule type="dataBar" priority="21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{38077996-4EF6-4A11-9505-D475EEC1A9DC}</x14:id>
        </ext>
      </extLst>
    </cfRule>
    <cfRule type="dataBar" priority="2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{8B2382E1-918E-4008-9DB7-CC1DAE4E3E0D}</x14:id>
        </ext>
      </extLst>
    </cfRule>
  </conditionalFormatting>
  <conditionalFormatting sqref="G149:G153">
    <cfRule type="iconSet" priority="32">
      <iconSet iconSet="3Arrows">
        <cfvo type="percent" val="0"/>
        <cfvo type="num" val="0"/>
        <cfvo type="num" val="0"/>
      </iconSet>
    </cfRule>
    <cfRule type="dataBar" priority="3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{4903EE82-BCC4-4B6C-968A-B4FF3CE09807}</x14:id>
        </ext>
      </extLst>
    </cfRule>
    <cfRule type="dataBar" priority="3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{35B05BBA-F75C-45DC-B58D-4E8A483BBB45}</x14:id>
        </ext>
      </extLst>
    </cfRule>
  </conditionalFormatting>
  <conditionalFormatting sqref="G159:G163">
    <cfRule type="iconSet" priority="26">
      <iconSet iconSet="3Arrows">
        <cfvo type="percent" val="0"/>
        <cfvo type="num" val="0"/>
        <cfvo type="num" val="0"/>
      </iconSet>
    </cfRule>
    <cfRule type="dataBar" priority="2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{F1DF8F99-2BE4-4D63-8180-52EAB668B6D3}</x14:id>
        </ext>
      </extLst>
    </cfRule>
    <cfRule type="dataBar" priority="2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{2F56F3F9-CCFE-4C1C-9E7B-17EE6B7FFB26}</x14:id>
        </ext>
      </extLst>
    </cfRule>
  </conditionalFormatting>
  <conditionalFormatting sqref="G169:G173">
    <cfRule type="iconSet" priority="14">
      <iconSet iconSet="3Arrows">
        <cfvo type="percent" val="0"/>
        <cfvo type="num" val="0"/>
        <cfvo type="num" val="0"/>
      </iconSet>
    </cfRule>
    <cfRule type="dataBar" priority="1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{14810D37-E948-4363-A882-4C2C6D883ECA}</x14:id>
        </ext>
      </extLst>
    </cfRule>
    <cfRule type="dataBar" priority="1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{057ACF96-A8A7-4857-9D79-B532CFB681F4}</x14:id>
        </ext>
      </extLst>
    </cfRule>
  </conditionalFormatting>
  <conditionalFormatting sqref="G179:G183">
    <cfRule type="iconSet" priority="8">
      <iconSet iconSet="3Arrows">
        <cfvo type="percent" val="0"/>
        <cfvo type="num" val="0"/>
        <cfvo type="num" val="0"/>
      </iconSet>
    </cfRule>
    <cfRule type="dataBar" priority="9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{56E0E093-47D7-43EF-BAFF-572D5BEE3359}</x14:id>
        </ext>
      </extLst>
    </cfRule>
    <cfRule type="dataBar" priority="1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{39A71EE5-005A-4646-8BB4-4EA9B9354FFD}</x14:id>
        </ext>
      </extLst>
    </cfRule>
  </conditionalFormatting>
  <conditionalFormatting sqref="G188:G192">
    <cfRule type="iconSet" priority="2">
      <iconSet iconSet="3Arrows">
        <cfvo type="percent" val="0"/>
        <cfvo type="num" val="0"/>
        <cfvo type="num" val="0"/>
      </iconSet>
    </cfRule>
    <cfRule type="dataBar" priority="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{9906CE80-F47B-417D-900D-F53A6A9C6351}</x14:id>
        </ext>
      </extLst>
    </cfRule>
    <cfRule type="dataBar" priority="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{00A7C66D-B714-49EB-9880-9951E4A55D37}</x14:id>
        </ext>
      </extLst>
    </cfRule>
  </conditionalFormatting>
  <conditionalFormatting sqref="H6:H7 H9:H10">
    <cfRule type="dataBar" priority="7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{52DE4B55-2B04-47F4-A9D7-19F4022D0612}</x14:id>
        </ext>
      </extLst>
    </cfRule>
    <cfRule type="dataBar" priority="7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{8CA068B7-8190-4266-AD24-A1F57091C0BA}</x14:id>
        </ext>
      </extLst>
    </cfRule>
  </conditionalFormatting>
  <conditionalFormatting sqref="H8">
    <cfRule type="dataBar" priority="69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{43491A3B-7247-413B-A46C-EFF272375FB3}</x14:id>
        </ext>
      </extLst>
    </cfRule>
    <cfRule type="dataBar" priority="7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{F8152D30-20C3-4899-BF13-9ECDC82DE9B9}</x14:id>
        </ext>
      </extLst>
    </cfRule>
  </conditionalFormatting>
  <conditionalFormatting sqref="H22:H23 H25:H26">
    <cfRule type="iconSet" priority="79">
      <iconSet iconSet="3Arrows">
        <cfvo type="percent" val="0"/>
        <cfvo type="num" val="0"/>
        <cfvo type="num" val="0"/>
      </iconSet>
    </cfRule>
  </conditionalFormatting>
  <conditionalFormatting sqref="H24">
    <cfRule type="dataBar" priority="67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{1E96CBCE-2805-4DA9-AD5D-973CDDE9A010}</x14:id>
        </ext>
      </extLst>
    </cfRule>
    <cfRule type="dataBar" priority="6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{818EF770-FB83-4BCB-895D-AA53529E8D01}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80B6C1-D8C7-4D0B-9769-F0695840CF8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750134-F143-427D-8F79-6F853F465C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>
          <x14:cfRule type="dataBar" id="{2D1015A4-2299-4EEA-814C-3A9075C62CD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2DBF77-0CFC-434E-A8D2-7B183A006D1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E6:E10</xm:sqref>
        </x14:conditionalFormatting>
        <x14:conditionalFormatting xmlns:xm="http://schemas.microsoft.com/office/excel/2006/main">
          <x14:cfRule type="dataBar" id="{6ABB6B0E-5261-4B69-B04C-E144B63ADE5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AE237-7089-4DA0-A8A0-32C5F3DFA83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E18:E22</xm:sqref>
        </x14:conditionalFormatting>
        <x14:conditionalFormatting xmlns:xm="http://schemas.microsoft.com/office/excel/2006/main">
          <x14:cfRule type="dataBar" id="{2852C8E8-CB52-4582-9D06-5EAF3CA0A96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AB4245-A4A1-461D-897A-E55227F8990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E28:E32</xm:sqref>
        </x14:conditionalFormatting>
        <x14:conditionalFormatting xmlns:xm="http://schemas.microsoft.com/office/excel/2006/main">
          <x14:cfRule type="dataBar" id="{5CEEB708-AC65-43AE-B324-8587185E28D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C59B54-3395-49B6-81FB-4BCB28033A7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E39:E43</xm:sqref>
        </x14:conditionalFormatting>
        <x14:conditionalFormatting xmlns:xm="http://schemas.microsoft.com/office/excel/2006/main">
          <x14:cfRule type="dataBar" id="{7CF2B5AA-9D82-4A03-A35E-8D32A1178CC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BF2751-325A-4F73-B02B-F508B324C0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E49:E53</xm:sqref>
        </x14:conditionalFormatting>
        <x14:conditionalFormatting xmlns:xm="http://schemas.microsoft.com/office/excel/2006/main">
          <x14:cfRule type="dataBar" id="{45AECB69-889B-4F7B-B6E8-10F35C97CB8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70375D-3A4E-4D74-BCE3-2C511A84B21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E59:E63</xm:sqref>
        </x14:conditionalFormatting>
        <x14:conditionalFormatting xmlns:xm="http://schemas.microsoft.com/office/excel/2006/main">
          <x14:cfRule type="dataBar" id="{228E6FA8-D0B8-45A5-94BD-221F31BBB86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04AD48-956A-496F-8358-DEF964DDDBA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E69:E73</xm:sqref>
        </x14:conditionalFormatting>
        <x14:conditionalFormatting xmlns:xm="http://schemas.microsoft.com/office/excel/2006/main">
          <x14:cfRule type="dataBar" id="{483717BC-55E9-468D-A597-589C357C24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8EC0A4-3726-4739-AC2A-52AD44870C0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E79:E83</xm:sqref>
        </x14:conditionalFormatting>
        <x14:conditionalFormatting xmlns:xm="http://schemas.microsoft.com/office/excel/2006/main">
          <x14:cfRule type="dataBar" id="{47CC691B-6E74-4B8B-91C8-3FD0B892595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C4E59A-A12E-4538-81DF-787398E3402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E89:E93</xm:sqref>
        </x14:conditionalFormatting>
        <x14:conditionalFormatting xmlns:xm="http://schemas.microsoft.com/office/excel/2006/main">
          <x14:cfRule type="dataBar" id="{4FFA5361-A66B-4650-971A-F7C695DCF22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A5DDB7-8D37-4D6F-A254-9FF0338DD69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E99:E103</xm:sqref>
        </x14:conditionalFormatting>
        <x14:conditionalFormatting xmlns:xm="http://schemas.microsoft.com/office/excel/2006/main">
          <x14:cfRule type="dataBar" id="{6671FAE7-2C37-487D-8AA4-16577423449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034C49-D875-4186-8678-9846026DBDB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E109:E113</xm:sqref>
        </x14:conditionalFormatting>
        <x14:conditionalFormatting xmlns:xm="http://schemas.microsoft.com/office/excel/2006/main">
          <x14:cfRule type="dataBar" id="{6911CCB5-C5FF-485A-B1AE-6EECE275B96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A87947-9CEB-4872-AA52-257F8B77399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E119:E123</xm:sqref>
        </x14:conditionalFormatting>
        <x14:conditionalFormatting xmlns:xm="http://schemas.microsoft.com/office/excel/2006/main">
          <x14:cfRule type="dataBar" id="{E775F07D-5254-4A1B-BA3B-440B9B35E42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F3C02C-05E8-4DBE-BACC-E4D3361C2A5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E129:E133</xm:sqref>
        </x14:conditionalFormatting>
        <x14:conditionalFormatting xmlns:xm="http://schemas.microsoft.com/office/excel/2006/main">
          <x14:cfRule type="dataBar" id="{662A7445-4130-4ED4-A280-CCF62DF19F8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62DD9E-71A2-4E05-88EE-B4B2036DF54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E139:E143</xm:sqref>
        </x14:conditionalFormatting>
        <x14:conditionalFormatting xmlns:xm="http://schemas.microsoft.com/office/excel/2006/main">
          <x14:cfRule type="dataBar" id="{9E786D71-4339-48AD-8B61-167F6ED4C4B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9BB92E0-C69E-492F-A32B-95742E52F3C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E149:E153</xm:sqref>
        </x14:conditionalFormatting>
        <x14:conditionalFormatting xmlns:xm="http://schemas.microsoft.com/office/excel/2006/main">
          <x14:cfRule type="dataBar" id="{5544DE32-0FAC-4507-A7D3-F850AC917E4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11B529-DF53-48E4-9CED-80F98F5627C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E159:E163</xm:sqref>
        </x14:conditionalFormatting>
        <x14:conditionalFormatting xmlns:xm="http://schemas.microsoft.com/office/excel/2006/main">
          <x14:cfRule type="dataBar" id="{54F08B39-E7B4-4025-9A17-D2EC06D655E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D73FA-09B2-45DD-AA3D-A13D55B33BB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E169:E173</xm:sqref>
        </x14:conditionalFormatting>
        <x14:conditionalFormatting xmlns:xm="http://schemas.microsoft.com/office/excel/2006/main">
          <x14:cfRule type="dataBar" id="{D69FD784-B5CB-414A-9678-BEA7B0A28DE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63D82D5-2D7F-40F3-9ABE-3982EEBD5E6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E179:E183</xm:sqref>
        </x14:conditionalFormatting>
        <x14:conditionalFormatting xmlns:xm="http://schemas.microsoft.com/office/excel/2006/main">
          <x14:cfRule type="dataBar" id="{E69AF6AD-983B-47A6-8E1A-F95974354E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9C9B4B-DA1B-48D5-8E6C-68F098CDA19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E188:E192</xm:sqref>
        </x14:conditionalFormatting>
        <x14:conditionalFormatting xmlns:xm="http://schemas.microsoft.com/office/excel/2006/main">
          <x14:cfRule type="dataBar" id="{DC53AEAD-8867-4B31-BB85-779AAE848FD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378548-CC81-4666-BCD0-D668FA9AAD1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F3:G3</xm:sqref>
        </x14:conditionalFormatting>
        <x14:conditionalFormatting xmlns:xm="http://schemas.microsoft.com/office/excel/2006/main">
          <x14:cfRule type="dataBar" id="{6758DF6C-4A64-406B-B41D-67867E7B9D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2A2F1D-72F5-4F4B-AA9D-3DB6115D8BB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>
          <x14:cfRule type="dataBar" id="{7E83244C-9167-4919-8435-D1BC6572E67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D4A9DA-A6EC-4DCA-9D21-5E15E321648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G28:G32</xm:sqref>
        </x14:conditionalFormatting>
        <x14:conditionalFormatting xmlns:xm="http://schemas.microsoft.com/office/excel/2006/main">
          <x14:cfRule type="dataBar" id="{B1D24EEC-3B5F-4FAD-BB45-99FC19CC5DD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C3973D-E7D8-4EB9-A7E1-A369EFA0BE4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G39:G43</xm:sqref>
        </x14:conditionalFormatting>
        <x14:conditionalFormatting xmlns:xm="http://schemas.microsoft.com/office/excel/2006/main">
          <x14:cfRule type="dataBar" id="{3EDD793B-D645-4888-91F3-8FD9515E251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CE42FC-0D3F-48BD-A4AF-70AE98D4FA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G49:G53</xm:sqref>
        </x14:conditionalFormatting>
        <x14:conditionalFormatting xmlns:xm="http://schemas.microsoft.com/office/excel/2006/main">
          <x14:cfRule type="dataBar" id="{8935EEC3-4F3C-4234-9DC4-7989C7E4E70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145776-F7E4-46D7-96E3-ED403EB0E1C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G59:G63</xm:sqref>
        </x14:conditionalFormatting>
        <x14:conditionalFormatting xmlns:xm="http://schemas.microsoft.com/office/excel/2006/main">
          <x14:cfRule type="dataBar" id="{89C39731-A4CB-456A-9393-28C516DDE39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C3C145-E0AD-4F56-89B9-5DB58511E90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G69:G73</xm:sqref>
        </x14:conditionalFormatting>
        <x14:conditionalFormatting xmlns:xm="http://schemas.microsoft.com/office/excel/2006/main">
          <x14:cfRule type="dataBar" id="{0ED34B4B-FE52-4D18-838F-DD4AFD69948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F9065F-5672-4AC5-B339-F748858F984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G79:G83</xm:sqref>
        </x14:conditionalFormatting>
        <x14:conditionalFormatting xmlns:xm="http://schemas.microsoft.com/office/excel/2006/main">
          <x14:cfRule type="dataBar" id="{45E6403A-6071-4906-B96D-41CD3A9F59F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0C9B0F-8F1F-4C6F-92F3-86829F035D8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G89:G93</xm:sqref>
        </x14:conditionalFormatting>
        <x14:conditionalFormatting xmlns:xm="http://schemas.microsoft.com/office/excel/2006/main">
          <x14:cfRule type="dataBar" id="{C888049E-C1FE-4796-A113-D29DE461BBE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C64C0A-27AC-4C5A-A7B1-34D0D47F1D9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G99:G103</xm:sqref>
        </x14:conditionalFormatting>
        <x14:conditionalFormatting xmlns:xm="http://schemas.microsoft.com/office/excel/2006/main">
          <x14:cfRule type="dataBar" id="{95AD54CE-3E92-4DD6-88DC-52C2B1A8035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25037A-389E-4E91-A1E2-E5EB90C8B95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G109:G113</xm:sqref>
        </x14:conditionalFormatting>
        <x14:conditionalFormatting xmlns:xm="http://schemas.microsoft.com/office/excel/2006/main">
          <x14:cfRule type="dataBar" id="{2431AB67-7CB4-4A8B-A1FB-0244758295E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588280-4E00-4042-8266-3391249DD33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G119:G123</xm:sqref>
        </x14:conditionalFormatting>
        <x14:conditionalFormatting xmlns:xm="http://schemas.microsoft.com/office/excel/2006/main">
          <x14:cfRule type="dataBar" id="{661A0CF4-699C-436B-9AD1-8BD50E766EF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4EE1A7-9266-44A1-8209-E89B85C9667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G129:G133</xm:sqref>
        </x14:conditionalFormatting>
        <x14:conditionalFormatting xmlns:xm="http://schemas.microsoft.com/office/excel/2006/main">
          <x14:cfRule type="dataBar" id="{38077996-4EF6-4A11-9505-D475EEC1A9D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2382E1-918E-4008-9DB7-CC1DAE4E3E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G139:G143</xm:sqref>
        </x14:conditionalFormatting>
        <x14:conditionalFormatting xmlns:xm="http://schemas.microsoft.com/office/excel/2006/main">
          <x14:cfRule type="dataBar" id="{4903EE82-BCC4-4B6C-968A-B4FF3CE0980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5B05BBA-F75C-45DC-B58D-4E8A483BBB4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G149:G153</xm:sqref>
        </x14:conditionalFormatting>
        <x14:conditionalFormatting xmlns:xm="http://schemas.microsoft.com/office/excel/2006/main">
          <x14:cfRule type="dataBar" id="{F1DF8F99-2BE4-4D63-8180-52EAB668B6D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56F3F9-CCFE-4C1C-9E7B-17EE6B7FFB2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G159:G163</xm:sqref>
        </x14:conditionalFormatting>
        <x14:conditionalFormatting xmlns:xm="http://schemas.microsoft.com/office/excel/2006/main">
          <x14:cfRule type="dataBar" id="{14810D37-E948-4363-A882-4C2C6D883EC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7ACF96-A8A7-4857-9D79-B532CFB681F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G169:G173</xm:sqref>
        </x14:conditionalFormatting>
        <x14:conditionalFormatting xmlns:xm="http://schemas.microsoft.com/office/excel/2006/main">
          <x14:cfRule type="dataBar" id="{56E0E093-47D7-43EF-BAFF-572D5BEE335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A71EE5-005A-4646-8BB4-4EA9B9354F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G179:G183</xm:sqref>
        </x14:conditionalFormatting>
        <x14:conditionalFormatting xmlns:xm="http://schemas.microsoft.com/office/excel/2006/main">
          <x14:cfRule type="dataBar" id="{9906CE80-F47B-417D-900D-F53A6A9C635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A7C66D-B714-49EB-9880-9951E4A55D3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G188:G192</xm:sqref>
        </x14:conditionalFormatting>
        <x14:conditionalFormatting xmlns:xm="http://schemas.microsoft.com/office/excel/2006/main">
          <x14:cfRule type="dataBar" id="{52DE4B55-2B04-47F4-A9D7-19F4022D06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A068B7-8190-4266-AD24-A1F57091C0B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H6:H7 H9:H10</xm:sqref>
        </x14:conditionalFormatting>
        <x14:conditionalFormatting xmlns:xm="http://schemas.microsoft.com/office/excel/2006/main">
          <x14:cfRule type="dataBar" id="{43491A3B-7247-413B-A46C-EFF272375FB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152D30-20C3-4899-BF13-9ECDC82DE9B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H8</xm:sqref>
        </x14:conditionalFormatting>
        <x14:conditionalFormatting xmlns:xm="http://schemas.microsoft.com/office/excel/2006/main">
          <x14:cfRule type="dataBar" id="{1E96CBCE-2805-4DA9-AD5D-973CDDE9A01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8EF770-FB83-4BCB-895D-AA53529E8D0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first="1" last="1" xr2:uid="{00000000-0003-0000-0100-000032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核心指标进度表!L130:M130</xm:f>
              <xm:sqref>H181</xm:sqref>
            </x14:sparkline>
          </x14:sparklines>
        </x14:sparklineGroup>
        <x14:sparklineGroup displayEmptyCellsAs="gap" high="1" low="1" first="1" last="1" xr2:uid="{00000000-0003-0000-0100-000031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核心指标进度表!L117:M117</xm:f>
              <xm:sqref>H180</xm:sqref>
            </x14:sparkline>
          </x14:sparklines>
        </x14:sparklineGroup>
        <x14:sparklineGroup displayEmptyCellsAs="gap" first="1" last="1" xr2:uid="{00000000-0003-0000-0100-000030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核心指标进度表!L104:M104</xm:f>
              <xm:sqref>H179</xm:sqref>
            </x14:sparkline>
          </x14:sparklines>
        </x14:sparklineGroup>
        <x14:sparklineGroup displayEmptyCellsAs="gap" first="1" last="1" xr2:uid="{00000000-0003-0000-0100-00002F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核心指标进度表!L100:M100</xm:f>
              <xm:sqref>H151</xm:sqref>
            </x14:sparkline>
          </x14:sparklines>
        </x14:sparklineGroup>
        <x14:sparklineGroup displayEmptyCellsAs="gap" high="1" low="1" first="1" last="1" xr2:uid="{00000000-0003-0000-0100-00002E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核心指标进度表!L87:M87</xm:f>
              <xm:sqref>H150</xm:sqref>
            </x14:sparkline>
          </x14:sparklines>
        </x14:sparklineGroup>
        <x14:sparklineGroup displayEmptyCellsAs="gap" first="1" last="1" xr2:uid="{00000000-0003-0000-0100-00002D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核心指标进度表!L73:M73</xm:f>
              <xm:sqref>H149</xm:sqref>
            </x14:sparkline>
          </x14:sparklines>
        </x14:sparklineGroup>
        <x14:sparklineGroup displayEmptyCellsAs="gap" first="1" last="1" xr2:uid="{00000000-0003-0000-0100-00002C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核心指标进度表!L120:M120</xm:f>
              <xm:sqref>H171</xm:sqref>
            </x14:sparkline>
          </x14:sparklines>
        </x14:sparklineGroup>
        <x14:sparklineGroup displayEmptyCellsAs="gap" high="1" low="1" first="1" last="1" xr2:uid="{00000000-0003-0000-0100-00002B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核心指标进度表!L107:M107</xm:f>
              <xm:sqref>H170</xm:sqref>
            </x14:sparkline>
          </x14:sparklines>
        </x14:sparklineGroup>
        <x14:sparklineGroup displayEmptyCellsAs="gap" first="1" last="1" xr2:uid="{00000000-0003-0000-0100-00002A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核心指标进度表!L94:M94</xm:f>
              <xm:sqref>H169</xm:sqref>
            </x14:sparkline>
          </x14:sparklines>
        </x14:sparklineGroup>
        <x14:sparklineGroup displayEmptyCellsAs="gap" first="1" last="1" xr2:uid="{00000000-0003-0000-0100-000029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核心指标进度表!L110:M110</xm:f>
              <xm:sqref>H161</xm:sqref>
            </x14:sparkline>
          </x14:sparklines>
        </x14:sparklineGroup>
        <x14:sparklineGroup displayEmptyCellsAs="gap" high="1" low="1" first="1" last="1" xr2:uid="{00000000-0003-0000-0100-000028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核心指标进度表!L97:M97</xm:f>
              <xm:sqref>H160</xm:sqref>
            </x14:sparkline>
          </x14:sparklines>
        </x14:sparklineGroup>
        <x14:sparklineGroup displayEmptyCellsAs="gap" first="1" last="1" xr2:uid="{00000000-0003-0000-0100-000027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核心指标进度表!L84:M84</xm:f>
              <xm:sqref>H159</xm:sqref>
            </x14:sparkline>
          </x14:sparklines>
        </x14:sparklineGroup>
        <x14:sparklineGroup displayEmptyCellsAs="gap" first="1" last="1" xr2:uid="{00000000-0003-0000-0100-000026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核心指标进度表!L89:M89</xm:f>
              <xm:sqref>H140</xm:sqref>
            </x14:sparkline>
          </x14:sparklines>
        </x14:sparklineGroup>
        <x14:sparklineGroup displayEmptyCellsAs="gap" high="1" low="1" first="1" last="1" xr2:uid="{00000000-0003-0000-0100-000025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核心指标进度表!L76:M76</xm:f>
              <xm:sqref>H139</xm:sqref>
            </x14:sparkline>
          </x14:sparklines>
        </x14:sparklineGroup>
        <x14:sparklineGroup displayEmptyCellsAs="gap" first="1" last="1" xr2:uid="{00000000-0003-0000-0100-000024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核心指标进度表!L63:M63</xm:f>
              <xm:sqref>H138</xm:sqref>
            </x14:sparkline>
          </x14:sparklines>
        </x14:sparklineGroup>
        <x14:sparklineGroup displayEmptyCellsAs="gap" first="1" last="1" xr2:uid="{00000000-0003-0000-0100-000023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核心指标进度表!L79:M79</xm:f>
              <xm:sqref>H131</xm:sqref>
            </x14:sparkline>
          </x14:sparklines>
        </x14:sparklineGroup>
        <x14:sparklineGroup displayEmptyCellsAs="gap" high="1" low="1" first="1" last="1" xr2:uid="{00000000-0003-0000-0100-000022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核心指标进度表!L66:M66</xm:f>
              <xm:sqref>H130</xm:sqref>
            </x14:sparkline>
          </x14:sparklines>
        </x14:sparklineGroup>
        <x14:sparklineGroup displayEmptyCellsAs="gap" first="1" last="1" xr2:uid="{00000000-0003-0000-0100-000021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核心指标进度表!L53:M53</xm:f>
              <xm:sqref>H129</xm:sqref>
            </x14:sparkline>
          </x14:sparklines>
        </x14:sparklineGroup>
        <x14:sparklineGroup displayEmptyCellsAs="gap" first="1" last="1" xr2:uid="{00000000-0003-0000-0100-000020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核心指标进度表!L69:M69</xm:f>
              <xm:sqref>H121</xm:sqref>
            </x14:sparkline>
          </x14:sparklines>
        </x14:sparklineGroup>
        <x14:sparklineGroup displayEmptyCellsAs="gap" high="1" low="1" first="1" last="1" xr2:uid="{00000000-0003-0000-0100-00001F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核心指标进度表!L56:M56</xm:f>
              <xm:sqref>H120</xm:sqref>
            </x14:sparkline>
          </x14:sparklines>
        </x14:sparklineGroup>
        <x14:sparklineGroup displayEmptyCellsAs="gap" first="1" last="1" xr2:uid="{00000000-0003-0000-0100-00001E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核心指标进度表!L43:M43</xm:f>
              <xm:sqref>H119</xm:sqref>
            </x14:sparkline>
          </x14:sparklines>
        </x14:sparklineGroup>
        <x14:sparklineGroup displayEmptyCellsAs="gap" first="1" last="1" xr2:uid="{00000000-0003-0000-0100-00001D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核心指标进度表!L59:M59</xm:f>
              <xm:sqref>H111</xm:sqref>
            </x14:sparkline>
          </x14:sparklines>
        </x14:sparklineGroup>
        <x14:sparklineGroup displayEmptyCellsAs="gap" high="1" low="1" first="1" last="1" xr2:uid="{00000000-0003-0000-0100-00001C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核心指标进度表!L46:M46</xm:f>
              <xm:sqref>H110</xm:sqref>
            </x14:sparkline>
          </x14:sparklines>
        </x14:sparklineGroup>
        <x14:sparklineGroup displayEmptyCellsAs="gap" first="1" last="1" xr2:uid="{00000000-0003-0000-0100-00001B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核心指标进度表!L28:M28</xm:f>
              <xm:sqref>H109</xm:sqref>
            </x14:sparkline>
          </x14:sparklines>
        </x14:sparklineGroup>
        <x14:sparklineGroup displayEmptyCellsAs="gap" first="1" last="1" xr2:uid="{00000000-0003-0000-0100-00001A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核心指标进度表!L49:M49</xm:f>
              <xm:sqref>H101</xm:sqref>
            </x14:sparkline>
          </x14:sparklines>
        </x14:sparklineGroup>
        <x14:sparklineGroup displayEmptyCellsAs="gap" first="1" last="1" xr2:uid="{00000000-0003-0000-0100-000019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核心指标进度表!L47:M47</xm:f>
              <xm:sqref>H91</xm:sqref>
            </x14:sparkline>
          </x14:sparklines>
        </x14:sparklineGroup>
        <x14:sparklineGroup displayEmptyCellsAs="gap" first="1" last="1" xr2:uid="{00000000-0003-0000-0100-000018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核心指标进度表!L46:M46</xm:f>
              <xm:sqref>H81</xm:sqref>
            </x14:sparkline>
          </x14:sparklines>
        </x14:sparklineGroup>
        <x14:sparklineGroup displayEmptyCellsAs="gap" first="1" last="1" xr2:uid="{00000000-0003-0000-0100-000017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核心指标进度表!L45:M45</xm:f>
              <xm:sqref>H71</xm:sqref>
            </x14:sparkline>
          </x14:sparklines>
        </x14:sparklineGroup>
        <x14:sparklineGroup displayEmptyCellsAs="gap" first="1" last="1" xr2:uid="{00000000-0003-0000-0100-000016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核心指标进度表!L44:M44</xm:f>
              <xm:sqref>H61</xm:sqref>
            </x14:sparkline>
          </x14:sparklines>
        </x14:sparklineGroup>
        <x14:sparklineGroup displayEmptyCellsAs="gap" first="1" last="1" xr2:uid="{00000000-0003-0000-0100-000015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核心指标进度表!L43:M43</xm:f>
              <xm:sqref>H51</xm:sqref>
            </x14:sparkline>
          </x14:sparklines>
        </x14:sparklineGroup>
        <x14:sparklineGroup displayEmptyCellsAs="gap" first="1" last="1" xr2:uid="{00000000-0003-0000-0100-000014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核心指标进度表!L42:M42</xm:f>
              <xm:sqref>H41</xm:sqref>
            </x14:sparkline>
          </x14:sparklines>
        </x14:sparklineGroup>
        <x14:sparklineGroup displayEmptyCellsAs="gap" first="1" last="1" xr2:uid="{00000000-0003-0000-0100-000013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sqref>H26</xm:sqref>
            </x14:sparkline>
          </x14:sparklines>
        </x14:sparklineGroup>
        <x14:sparklineGroup displayEmptyCellsAs="gap" first="1" last="1" xr2:uid="{00000000-0003-0000-0100-000012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核心指标进度表!L41:M41</xm:f>
              <xm:sqref>H10</xm:sqref>
            </x14:sparkline>
          </x14:sparklines>
        </x14:sparklineGroup>
        <x14:sparklineGroup displayEmptyCellsAs="gap" high="1" low="1" first="1" last="1" xr2:uid="{00000000-0003-0000-0100-000011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核心指标进度表!L31:M31</xm:f>
              <xm:sqref>H100</xm:sqref>
            </x14:sparkline>
          </x14:sparklines>
        </x14:sparklineGroup>
        <x14:sparklineGroup displayEmptyCellsAs="gap" first="1" last="1" xr2:uid="{00000000-0003-0000-0100-000010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核心指标进度表!L29:M29</xm:f>
              <xm:sqref>H90</xm:sqref>
            </x14:sparkline>
          </x14:sparklines>
        </x14:sparklineGroup>
        <x14:sparklineGroup displayEmptyCellsAs="gap" first="1" last="1" xr2:uid="{00000000-0003-0000-0100-00000F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核心指标进度表!L28:M28</xm:f>
              <xm:sqref>H80</xm:sqref>
            </x14:sparkline>
          </x14:sparklines>
        </x14:sparklineGroup>
        <x14:sparklineGroup displayEmptyCellsAs="gap" first="1" last="1" xr2:uid="{00000000-0003-0000-0100-00000E000000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核心指标进度表!L27:M27</xm:f>
              <xm:sqref>H70</xm:sqref>
            </x14:sparkline>
          </x14:sparklines>
        </x14:sparklineGroup>
        <x14:sparklineGroup displayEmptyCellsAs="gap" first="1" last="1" xr2:uid="{00000000-0003-0000-0100-00000D000000}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核心指标进度表!L26:M26</xm:f>
              <xm:sqref>H60</xm:sqref>
            </x14:sparkline>
          </x14:sparklines>
        </x14:sparklineGroup>
        <x14:sparklineGroup displayEmptyCellsAs="gap" first="1" last="1" xr2:uid="{00000000-0003-0000-0100-00000C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核心指标进度表!L25:M25</xm:f>
              <xm:sqref>H50</xm:sqref>
            </x14:sparkline>
          </x14:sparklines>
        </x14:sparklineGroup>
        <x14:sparklineGroup displayEmptyCellsAs="gap" first="1" last="1" xr2:uid="{00000000-0003-0000-0100-00000B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核心指标进度表!L24:M24</xm:f>
              <xm:sqref>H40</xm:sqref>
            </x14:sparkline>
          </x14:sparklines>
        </x14:sparklineGroup>
        <x14:sparklineGroup displayEmptyCellsAs="gap" first="1" last="1" xr2:uid="{00000000-0003-0000-0100-00000A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sqref>H25</xm:sqref>
            </x14:sparkline>
          </x14:sparklines>
        </x14:sparklineGroup>
        <x14:sparklineGroup displayEmptyCellsAs="gap" first="1" last="1" xr2:uid="{00000000-0003-0000-0100-000009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核心指标进度表!L23:M23</xm:f>
              <xm:sqref>H9</xm:sqref>
            </x14:sparkline>
          </x14:sparklines>
        </x14:sparklineGroup>
        <x14:sparklineGroup displayEmptyCellsAs="gap" first="1" last="1" xr2:uid="{00000000-0003-0000-0100-000008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核心指标进度表!L14:M14</xm:f>
              <xm:sqref>H99</xm:sqref>
            </x14:sparkline>
          </x14:sparklines>
        </x14:sparklineGroup>
        <x14:sparklineGroup displayEmptyCellsAs="gap" first="1" last="1" xr2:uid="{00000000-0003-0000-0100-000007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核心指标进度表!L10:M10</xm:f>
              <xm:sqref>H89</xm:sqref>
            </x14:sparkline>
          </x14:sparklines>
        </x14:sparklineGroup>
        <x14:sparklineGroup displayEmptyCellsAs="gap" first="1" last="1" xr2:uid="{00000000-0003-0000-0100-000006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核心指标进度表!L9:M9</xm:f>
              <xm:sqref>H79</xm:sqref>
            </x14:sparkline>
          </x14:sparklines>
        </x14:sparklineGroup>
        <x14:sparklineGroup displayEmptyCellsAs="gap" first="1" last="1" xr2:uid="{00000000-0003-0000-0100-000005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核心指标进度表!L8:M8</xm:f>
              <xm:sqref>H69</xm:sqref>
            </x14:sparkline>
          </x14:sparklines>
        </x14:sparklineGroup>
        <x14:sparklineGroup displayEmptyCellsAs="gap" first="1" last="1" xr2:uid="{00000000-0003-0000-0100-000004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核心指标进度表!L7:M7</xm:f>
              <xm:sqref>H59</xm:sqref>
            </x14:sparkline>
          </x14:sparklines>
        </x14:sparklineGroup>
        <x14:sparklineGroup displayEmptyCellsAs="gap" first="1" last="1" xr2:uid="{00000000-0003-0000-0100-000003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核心指标进度表!L6:M6</xm:f>
              <xm:sqref>H49</xm:sqref>
            </x14:sparkline>
          </x14:sparklines>
        </x14:sparklineGroup>
        <x14:sparklineGroup displayEmptyCellsAs="gap" first="1" last="1" xr2:uid="{00000000-0003-0000-0100-000002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核心指标进度表!L5:M5</xm:f>
              <xm:sqref>H34</xm:sqref>
            </x14:sparkline>
            <x14:sparkline>
              <xm:f>核心指标进度表!L6:M6</xm:f>
              <xm:sqref>H35</xm:sqref>
            </x14:sparkline>
            <x14:sparkline>
              <xm:f>核心指标进度表!L6:M6</xm:f>
              <xm:sqref>H36</xm:sqref>
            </x14:sparkline>
            <x14:sparkline>
              <xm:f>核心指标进度表!L7:M7</xm:f>
              <xm:sqref>H37</xm:sqref>
            </x14:sparkline>
            <x14:sparkline>
              <xm:f>核心指标进度表!L8:M8</xm:f>
              <xm:sqref>H38</xm:sqref>
            </x14:sparkline>
            <x14:sparkline>
              <xm:f>核心指标进度表!L9:M9</xm:f>
              <xm:sqref>H39</xm:sqref>
            </x14:sparkline>
          </x14:sparklines>
        </x14:sparklineGroup>
        <x14:sparklineGroup displayEmptyCellsAs="gap" first="1" last="1" xr2:uid="{00000000-0003-0000-0100-000001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H24</xm:sqref>
            </x14:sparkline>
          </x14:sparklines>
        </x14:sparklineGroup>
        <x14:sparklineGroup displayEmptyCellsAs="gap" first="1" last="1" xr2:uid="{00000000-0003-0000-0100-000000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核心指标进度表!L4:M4</xm:f>
              <xm:sqref>H8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3"/>
  <sheetViews>
    <sheetView tabSelected="1" zoomScale="40" zoomScaleNormal="40" workbookViewId="0">
      <pane xSplit="2" ySplit="4" topLeftCell="C5" activePane="bottomRight" state="frozen"/>
      <selection pane="topRight"/>
      <selection pane="bottomLeft"/>
      <selection pane="bottomRight" activeCell="AN23" sqref="AN23"/>
    </sheetView>
  </sheetViews>
  <sheetFormatPr defaultColWidth="8.796875" defaultRowHeight="15.75"/>
  <cols>
    <col min="1" max="1" width="5.33203125" style="53" customWidth="1"/>
    <col min="2" max="2" width="12.1328125" style="72" customWidth="1"/>
    <col min="3" max="3" width="9.6640625" style="53" customWidth="1"/>
    <col min="4" max="7" width="8.796875" style="53"/>
    <col min="8" max="8" width="9.6640625" style="53" customWidth="1"/>
    <col min="9" max="16384" width="8.796875" style="53"/>
  </cols>
  <sheetData>
    <row r="1" spans="1:27" ht="66" customHeight="1">
      <c r="A1" s="192" t="s">
        <v>65</v>
      </c>
      <c r="B1" s="19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</row>
    <row r="2" spans="1:27" ht="31.05" customHeight="1">
      <c r="A2" s="200" t="s">
        <v>1</v>
      </c>
      <c r="B2" s="203" t="s">
        <v>2</v>
      </c>
      <c r="C2" s="195" t="s">
        <v>66</v>
      </c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</row>
    <row r="3" spans="1:27" ht="36" customHeight="1">
      <c r="A3" s="201"/>
      <c r="B3" s="204"/>
      <c r="C3" s="196" t="s">
        <v>67</v>
      </c>
      <c r="D3" s="196"/>
      <c r="E3" s="196"/>
      <c r="F3" s="206" t="s">
        <v>68</v>
      </c>
      <c r="G3" s="206" t="s">
        <v>69</v>
      </c>
      <c r="H3" s="197" t="s">
        <v>40</v>
      </c>
      <c r="I3" s="197"/>
      <c r="J3" s="197"/>
      <c r="K3" s="197"/>
      <c r="L3" s="197"/>
      <c r="M3" s="197"/>
      <c r="N3" s="197"/>
      <c r="O3" s="197"/>
      <c r="P3" s="198" t="s">
        <v>63</v>
      </c>
      <c r="Q3" s="198"/>
      <c r="R3" s="198"/>
      <c r="S3" s="199" t="s">
        <v>70</v>
      </c>
      <c r="T3" s="199"/>
      <c r="U3" s="199"/>
      <c r="V3" s="199"/>
      <c r="W3" s="199"/>
      <c r="X3" s="199"/>
      <c r="Y3" s="199"/>
      <c r="Z3" s="199"/>
      <c r="AA3" s="208" t="s">
        <v>71</v>
      </c>
    </row>
    <row r="4" spans="1:27" ht="56" customHeight="1" thickBot="1">
      <c r="A4" s="202"/>
      <c r="B4" s="205"/>
      <c r="C4" s="73" t="s">
        <v>72</v>
      </c>
      <c r="D4" s="73" t="s">
        <v>73</v>
      </c>
      <c r="E4" s="73" t="s">
        <v>74</v>
      </c>
      <c r="F4" s="207"/>
      <c r="G4" s="207"/>
      <c r="H4" s="74" t="s">
        <v>58</v>
      </c>
      <c r="I4" s="74" t="s">
        <v>75</v>
      </c>
      <c r="J4" s="74" t="s">
        <v>76</v>
      </c>
      <c r="K4" s="74" t="s">
        <v>77</v>
      </c>
      <c r="L4" s="74" t="s">
        <v>78</v>
      </c>
      <c r="M4" s="74" t="s">
        <v>79</v>
      </c>
      <c r="N4" s="74" t="s">
        <v>80</v>
      </c>
      <c r="O4" s="75" t="s">
        <v>81</v>
      </c>
      <c r="P4" s="76" t="s">
        <v>82</v>
      </c>
      <c r="Q4" s="76" t="s">
        <v>83</v>
      </c>
      <c r="R4" s="76" t="s">
        <v>59</v>
      </c>
      <c r="S4" s="77" t="s">
        <v>84</v>
      </c>
      <c r="T4" s="77" t="s">
        <v>85</v>
      </c>
      <c r="U4" s="77" t="s">
        <v>86</v>
      </c>
      <c r="V4" s="77" t="s">
        <v>87</v>
      </c>
      <c r="W4" s="77" t="s">
        <v>88</v>
      </c>
      <c r="X4" s="77" t="s">
        <v>89</v>
      </c>
      <c r="Y4" s="77" t="s">
        <v>90</v>
      </c>
      <c r="Z4" s="77" t="s">
        <v>91</v>
      </c>
      <c r="AA4" s="209"/>
    </row>
    <row r="5" spans="1:27" s="70" customFormat="1" ht="39" customHeight="1" thickTop="1">
      <c r="A5" s="78">
        <v>1</v>
      </c>
      <c r="B5" s="79" t="s">
        <v>20</v>
      </c>
      <c r="C5" s="80">
        <v>7245.84</v>
      </c>
      <c r="D5" s="80">
        <v>7878.56</v>
      </c>
      <c r="E5" s="80">
        <v>15124.4</v>
      </c>
      <c r="F5" s="80">
        <v>38</v>
      </c>
      <c r="G5" s="80">
        <v>66</v>
      </c>
      <c r="H5" s="80">
        <v>416</v>
      </c>
      <c r="I5" s="80">
        <v>310</v>
      </c>
      <c r="J5" s="80">
        <v>38</v>
      </c>
      <c r="K5" s="80">
        <v>68</v>
      </c>
      <c r="L5" s="80">
        <v>274</v>
      </c>
      <c r="M5" s="80">
        <v>2</v>
      </c>
      <c r="N5" s="80">
        <v>285</v>
      </c>
      <c r="O5" s="81">
        <v>53.068070175438599</v>
      </c>
      <c r="P5" s="80">
        <v>6</v>
      </c>
      <c r="Q5" s="80">
        <v>0</v>
      </c>
      <c r="R5" s="82">
        <v>6</v>
      </c>
      <c r="S5" s="83">
        <v>3</v>
      </c>
      <c r="T5" s="80">
        <v>3</v>
      </c>
      <c r="U5" s="80">
        <v>0</v>
      </c>
      <c r="V5" s="84">
        <v>0.08</v>
      </c>
      <c r="W5" s="80">
        <v>0</v>
      </c>
      <c r="X5" s="85">
        <v>0</v>
      </c>
      <c r="Y5" s="86">
        <v>3</v>
      </c>
      <c r="Z5" s="87">
        <v>1.05263157894737E-2</v>
      </c>
      <c r="AA5" s="80">
        <v>35</v>
      </c>
    </row>
    <row r="6" spans="1:27" s="70" customFormat="1" ht="39" customHeight="1">
      <c r="A6" s="78">
        <v>2</v>
      </c>
      <c r="B6" s="88" t="s">
        <v>21</v>
      </c>
      <c r="C6" s="82">
        <v>26978.75</v>
      </c>
      <c r="D6" s="82">
        <v>0</v>
      </c>
      <c r="E6" s="82">
        <v>26978.75</v>
      </c>
      <c r="F6" s="82">
        <v>44</v>
      </c>
      <c r="G6" s="82">
        <v>82</v>
      </c>
      <c r="H6" s="82">
        <v>379</v>
      </c>
      <c r="I6" s="82">
        <v>379</v>
      </c>
      <c r="J6" s="82">
        <v>0</v>
      </c>
      <c r="K6" s="82">
        <v>0</v>
      </c>
      <c r="L6" s="82">
        <v>379</v>
      </c>
      <c r="M6" s="82">
        <v>0</v>
      </c>
      <c r="N6" s="82">
        <v>379</v>
      </c>
      <c r="O6" s="81">
        <v>71.184036939313998</v>
      </c>
      <c r="P6" s="82">
        <v>13</v>
      </c>
      <c r="Q6" s="82">
        <v>0</v>
      </c>
      <c r="R6" s="82">
        <v>13</v>
      </c>
      <c r="S6" s="83">
        <v>3</v>
      </c>
      <c r="T6" s="82">
        <v>3</v>
      </c>
      <c r="U6" s="82">
        <v>0</v>
      </c>
      <c r="V6" s="89">
        <v>2.4E-2</v>
      </c>
      <c r="W6" s="82">
        <v>0</v>
      </c>
      <c r="X6" s="89">
        <v>0</v>
      </c>
      <c r="Y6" s="86">
        <v>3</v>
      </c>
      <c r="Z6" s="87">
        <v>7.9155672823219003E-3</v>
      </c>
      <c r="AA6" s="80"/>
    </row>
    <row r="7" spans="1:27" s="70" customFormat="1" ht="39" customHeight="1">
      <c r="A7" s="78">
        <v>3</v>
      </c>
      <c r="B7" s="90" t="s">
        <v>22</v>
      </c>
      <c r="C7" s="82">
        <v>28515.23</v>
      </c>
      <c r="D7" s="82">
        <v>7455.17</v>
      </c>
      <c r="E7" s="82">
        <v>35970.400000000001</v>
      </c>
      <c r="F7" s="82">
        <v>38</v>
      </c>
      <c r="G7" s="82">
        <v>75</v>
      </c>
      <c r="H7" s="82">
        <v>463</v>
      </c>
      <c r="I7" s="82">
        <v>362</v>
      </c>
      <c r="J7" s="82">
        <v>96</v>
      </c>
      <c r="K7" s="82">
        <v>5</v>
      </c>
      <c r="L7" s="82">
        <v>458</v>
      </c>
      <c r="M7" s="82">
        <v>0</v>
      </c>
      <c r="N7" s="82">
        <v>458</v>
      </c>
      <c r="O7" s="81">
        <v>78.537991266375499</v>
      </c>
      <c r="P7" s="82">
        <v>27</v>
      </c>
      <c r="Q7" s="82">
        <v>1</v>
      </c>
      <c r="R7" s="82">
        <v>28</v>
      </c>
      <c r="S7" s="83">
        <v>11</v>
      </c>
      <c r="T7" s="82">
        <v>11</v>
      </c>
      <c r="U7" s="82">
        <v>0</v>
      </c>
      <c r="V7" s="89">
        <v>0.25</v>
      </c>
      <c r="W7" s="82">
        <v>0</v>
      </c>
      <c r="X7" s="89">
        <v>0</v>
      </c>
      <c r="Y7" s="86">
        <v>11</v>
      </c>
      <c r="Z7" s="87">
        <v>2.4017467248908301E-2</v>
      </c>
      <c r="AA7" s="80">
        <v>238</v>
      </c>
    </row>
    <row r="8" spans="1:27" s="70" customFormat="1" ht="39" customHeight="1">
      <c r="A8" s="78">
        <v>4</v>
      </c>
      <c r="B8" s="88" t="s">
        <v>23</v>
      </c>
      <c r="C8" s="82">
        <v>33810</v>
      </c>
      <c r="D8" s="82">
        <v>1648</v>
      </c>
      <c r="E8" s="82">
        <v>35458</v>
      </c>
      <c r="F8" s="82">
        <v>90</v>
      </c>
      <c r="G8" s="82">
        <v>84</v>
      </c>
      <c r="H8" s="82">
        <v>480</v>
      </c>
      <c r="I8" s="82">
        <v>412</v>
      </c>
      <c r="J8" s="82">
        <v>56</v>
      </c>
      <c r="K8" s="82">
        <v>12</v>
      </c>
      <c r="L8" s="82">
        <v>410</v>
      </c>
      <c r="M8" s="82">
        <v>36</v>
      </c>
      <c r="N8" s="82">
        <v>432</v>
      </c>
      <c r="O8" s="81">
        <v>82.078703703703695</v>
      </c>
      <c r="P8" s="82">
        <v>11</v>
      </c>
      <c r="Q8" s="82">
        <v>0</v>
      </c>
      <c r="R8" s="82">
        <v>11</v>
      </c>
      <c r="S8" s="83">
        <v>3</v>
      </c>
      <c r="T8" s="82">
        <v>3</v>
      </c>
      <c r="U8" s="82">
        <v>0</v>
      </c>
      <c r="V8" s="89">
        <v>0.19</v>
      </c>
      <c r="W8" s="82">
        <v>0</v>
      </c>
      <c r="X8" s="89">
        <v>0</v>
      </c>
      <c r="Y8" s="82">
        <v>3</v>
      </c>
      <c r="Z8" s="87">
        <v>6.9444444444444397E-3</v>
      </c>
      <c r="AA8" s="80">
        <v>126</v>
      </c>
    </row>
    <row r="9" spans="1:27" s="70" customFormat="1" ht="39" customHeight="1">
      <c r="A9" s="78">
        <v>5</v>
      </c>
      <c r="B9" s="88" t="s">
        <v>24</v>
      </c>
      <c r="C9" s="82">
        <v>11081</v>
      </c>
      <c r="D9" s="82">
        <v>0</v>
      </c>
      <c r="E9" s="82">
        <v>11081</v>
      </c>
      <c r="F9" s="82">
        <v>40</v>
      </c>
      <c r="G9" s="82">
        <v>24</v>
      </c>
      <c r="H9" s="82">
        <v>182</v>
      </c>
      <c r="I9" s="82">
        <v>181</v>
      </c>
      <c r="J9" s="82">
        <v>1</v>
      </c>
      <c r="K9" s="82">
        <v>0</v>
      </c>
      <c r="L9" s="82">
        <v>150</v>
      </c>
      <c r="M9" s="82">
        <v>26</v>
      </c>
      <c r="N9" s="82">
        <v>155</v>
      </c>
      <c r="O9" s="81">
        <v>71.490322580645199</v>
      </c>
      <c r="P9" s="82">
        <v>12</v>
      </c>
      <c r="Q9" s="82">
        <v>0</v>
      </c>
      <c r="R9" s="82">
        <v>12</v>
      </c>
      <c r="S9" s="83">
        <v>1</v>
      </c>
      <c r="T9" s="86">
        <v>1</v>
      </c>
      <c r="U9" s="86">
        <v>0</v>
      </c>
      <c r="V9" s="89">
        <v>0.09</v>
      </c>
      <c r="W9" s="86">
        <v>0</v>
      </c>
      <c r="X9" s="85">
        <v>0</v>
      </c>
      <c r="Y9" s="86">
        <v>1</v>
      </c>
      <c r="Z9" s="87">
        <v>6.4516129032258099E-3</v>
      </c>
      <c r="AA9" s="80"/>
    </row>
    <row r="10" spans="1:27" ht="39" customHeight="1">
      <c r="A10" s="91">
        <v>6</v>
      </c>
      <c r="B10" s="39" t="s">
        <v>25</v>
      </c>
      <c r="C10" s="92">
        <v>7778</v>
      </c>
      <c r="D10" s="92">
        <v>0</v>
      </c>
      <c r="E10" s="92">
        <v>7778</v>
      </c>
      <c r="F10" s="92">
        <v>37</v>
      </c>
      <c r="G10" s="92">
        <v>34</v>
      </c>
      <c r="H10" s="92">
        <v>248</v>
      </c>
      <c r="I10" s="92">
        <v>193</v>
      </c>
      <c r="J10" s="92">
        <v>15</v>
      </c>
      <c r="K10" s="92">
        <v>40</v>
      </c>
      <c r="L10" s="92">
        <v>69</v>
      </c>
      <c r="M10" s="92">
        <v>54</v>
      </c>
      <c r="N10" s="92">
        <v>180</v>
      </c>
      <c r="O10" s="93">
        <v>43.211111111111101</v>
      </c>
      <c r="P10" s="92">
        <v>14</v>
      </c>
      <c r="Q10" s="92">
        <v>0</v>
      </c>
      <c r="R10" s="92">
        <v>14</v>
      </c>
      <c r="S10" s="94">
        <v>6</v>
      </c>
      <c r="T10" s="92">
        <v>6</v>
      </c>
      <c r="U10" s="92">
        <v>0</v>
      </c>
      <c r="V10" s="87">
        <v>0.26</v>
      </c>
      <c r="W10" s="92">
        <v>2</v>
      </c>
      <c r="X10" s="87">
        <v>7.3999999999999996E-2</v>
      </c>
      <c r="Y10" s="92">
        <v>4</v>
      </c>
      <c r="Z10" s="87">
        <v>2.2222222222222199E-2</v>
      </c>
      <c r="AA10" s="95"/>
    </row>
    <row r="11" spans="1:27" s="71" customFormat="1" ht="39" customHeight="1">
      <c r="A11" s="96">
        <v>7</v>
      </c>
      <c r="B11" s="97" t="s">
        <v>26</v>
      </c>
      <c r="C11" s="98">
        <v>4000</v>
      </c>
      <c r="D11" s="98">
        <v>0</v>
      </c>
      <c r="E11" s="98">
        <v>4000</v>
      </c>
      <c r="F11" s="98">
        <v>24</v>
      </c>
      <c r="G11" s="98">
        <v>18</v>
      </c>
      <c r="H11" s="98">
        <v>116</v>
      </c>
      <c r="I11" s="98">
        <v>80</v>
      </c>
      <c r="J11" s="98">
        <v>1</v>
      </c>
      <c r="K11" s="98">
        <v>35</v>
      </c>
      <c r="L11" s="98">
        <v>74</v>
      </c>
      <c r="M11" s="98">
        <v>37</v>
      </c>
      <c r="N11" s="98">
        <v>67</v>
      </c>
      <c r="O11" s="99">
        <v>59.701492537313399</v>
      </c>
      <c r="P11" s="98">
        <v>14</v>
      </c>
      <c r="Q11" s="98">
        <v>0</v>
      </c>
      <c r="R11" s="98">
        <v>14</v>
      </c>
      <c r="S11" s="100">
        <v>2</v>
      </c>
      <c r="T11" s="101">
        <v>2</v>
      </c>
      <c r="U11" s="101">
        <v>0</v>
      </c>
      <c r="V11" s="102">
        <v>0.15</v>
      </c>
      <c r="W11" s="101">
        <v>0</v>
      </c>
      <c r="X11" s="103">
        <v>0</v>
      </c>
      <c r="Y11" s="101">
        <v>2</v>
      </c>
      <c r="Z11" s="102">
        <v>2.9850746268656699E-2</v>
      </c>
      <c r="AA11" s="104">
        <v>233</v>
      </c>
    </row>
    <row r="12" spans="1:27" ht="39" customHeight="1">
      <c r="A12" s="91">
        <v>8</v>
      </c>
      <c r="B12" s="40" t="s">
        <v>27</v>
      </c>
      <c r="C12" s="92">
        <v>5909.26</v>
      </c>
      <c r="D12" s="92">
        <v>2186.44</v>
      </c>
      <c r="E12" s="92">
        <v>8095.7</v>
      </c>
      <c r="F12" s="92">
        <v>62</v>
      </c>
      <c r="G12" s="92">
        <v>94</v>
      </c>
      <c r="H12" s="92">
        <v>343</v>
      </c>
      <c r="I12" s="92">
        <v>140</v>
      </c>
      <c r="J12" s="92">
        <v>198</v>
      </c>
      <c r="K12" s="92">
        <v>5</v>
      </c>
      <c r="L12" s="92">
        <v>338</v>
      </c>
      <c r="M12" s="92">
        <v>40</v>
      </c>
      <c r="N12" s="92">
        <v>222</v>
      </c>
      <c r="O12" s="93">
        <v>36.467117117117098</v>
      </c>
      <c r="P12" s="92">
        <v>12</v>
      </c>
      <c r="Q12" s="92">
        <v>8</v>
      </c>
      <c r="R12" s="92">
        <v>20</v>
      </c>
      <c r="S12" s="94">
        <v>2</v>
      </c>
      <c r="T12" s="92">
        <v>1</v>
      </c>
      <c r="U12" s="92">
        <v>1</v>
      </c>
      <c r="V12" s="105">
        <v>0.14000000000000001</v>
      </c>
      <c r="W12" s="92">
        <v>0</v>
      </c>
      <c r="X12" s="87">
        <v>0</v>
      </c>
      <c r="Y12" s="92">
        <v>2</v>
      </c>
      <c r="Z12" s="87">
        <v>9.0090090090090107E-3</v>
      </c>
      <c r="AA12" s="95">
        <v>140</v>
      </c>
    </row>
    <row r="13" spans="1:27" s="71" customFormat="1" ht="39" customHeight="1">
      <c r="A13" s="96">
        <v>9</v>
      </c>
      <c r="B13" s="97" t="s">
        <v>28</v>
      </c>
      <c r="C13" s="98">
        <v>0</v>
      </c>
      <c r="D13" s="98">
        <v>8465</v>
      </c>
      <c r="E13" s="98">
        <v>8465</v>
      </c>
      <c r="F13" s="98">
        <v>0</v>
      </c>
      <c r="G13" s="98">
        <v>38</v>
      </c>
      <c r="H13" s="98">
        <v>113</v>
      </c>
      <c r="I13" s="98">
        <v>0</v>
      </c>
      <c r="J13" s="98">
        <v>80</v>
      </c>
      <c r="K13" s="98">
        <v>33</v>
      </c>
      <c r="L13" s="98">
        <v>60</v>
      </c>
      <c r="M13" s="98">
        <v>0</v>
      </c>
      <c r="N13" s="98">
        <v>80</v>
      </c>
      <c r="O13" s="99">
        <v>105.8125</v>
      </c>
      <c r="P13" s="98">
        <v>0</v>
      </c>
      <c r="Q13" s="98">
        <v>4</v>
      </c>
      <c r="R13" s="98">
        <v>4</v>
      </c>
      <c r="S13" s="100">
        <v>1</v>
      </c>
      <c r="T13" s="101">
        <v>0</v>
      </c>
      <c r="U13" s="101">
        <v>1</v>
      </c>
      <c r="V13" s="102">
        <v>0.2</v>
      </c>
      <c r="W13" s="101">
        <v>0</v>
      </c>
      <c r="X13" s="103">
        <v>0</v>
      </c>
      <c r="Y13" s="101">
        <v>1</v>
      </c>
      <c r="Z13" s="102">
        <v>1.2500000000000001E-2</v>
      </c>
      <c r="AA13" s="104"/>
    </row>
    <row r="14" spans="1:27" ht="39" customHeight="1">
      <c r="A14" s="91">
        <v>10</v>
      </c>
      <c r="B14" s="40" t="s">
        <v>29</v>
      </c>
      <c r="C14" s="92">
        <v>18989.27</v>
      </c>
      <c r="D14" s="92">
        <v>28532.38</v>
      </c>
      <c r="E14" s="92">
        <v>47521.65</v>
      </c>
      <c r="F14" s="92">
        <v>32</v>
      </c>
      <c r="G14" s="92">
        <v>65</v>
      </c>
      <c r="H14" s="92">
        <v>665</v>
      </c>
      <c r="I14" s="92">
        <v>224</v>
      </c>
      <c r="J14" s="92">
        <v>413</v>
      </c>
      <c r="K14" s="92">
        <v>28</v>
      </c>
      <c r="L14" s="92">
        <v>640</v>
      </c>
      <c r="M14" s="92">
        <v>67</v>
      </c>
      <c r="N14" s="92">
        <v>635</v>
      </c>
      <c r="O14" s="93">
        <v>74.837244094488199</v>
      </c>
      <c r="P14" s="92">
        <v>27</v>
      </c>
      <c r="Q14" s="92">
        <v>7</v>
      </c>
      <c r="R14" s="92">
        <v>17</v>
      </c>
      <c r="S14" s="94">
        <v>2</v>
      </c>
      <c r="T14" s="92">
        <v>1</v>
      </c>
      <c r="U14" s="92">
        <v>1</v>
      </c>
      <c r="V14" s="105">
        <v>0</v>
      </c>
      <c r="W14" s="92">
        <v>0</v>
      </c>
      <c r="X14" s="87">
        <v>0</v>
      </c>
      <c r="Y14" s="92">
        <v>2</v>
      </c>
      <c r="Z14" s="87">
        <v>3.1496062992126001E-3</v>
      </c>
      <c r="AA14" s="95"/>
    </row>
    <row r="15" spans="1:27" s="71" customFormat="1" ht="39" customHeight="1">
      <c r="A15" s="96">
        <v>11</v>
      </c>
      <c r="B15" s="97" t="s">
        <v>30</v>
      </c>
      <c r="C15" s="98">
        <v>16798</v>
      </c>
      <c r="D15" s="98">
        <v>24469</v>
      </c>
      <c r="E15" s="98">
        <v>41267</v>
      </c>
      <c r="F15" s="98">
        <v>50</v>
      </c>
      <c r="G15" s="98">
        <v>50</v>
      </c>
      <c r="H15" s="98">
        <v>751</v>
      </c>
      <c r="I15" s="98">
        <v>407</v>
      </c>
      <c r="J15" s="98">
        <v>334</v>
      </c>
      <c r="K15" s="98">
        <v>10</v>
      </c>
      <c r="L15" s="98">
        <v>705</v>
      </c>
      <c r="M15" s="98">
        <v>127</v>
      </c>
      <c r="N15" s="98">
        <v>614</v>
      </c>
      <c r="O15" s="99">
        <v>67.210097719869694</v>
      </c>
      <c r="P15" s="98">
        <v>22</v>
      </c>
      <c r="Q15" s="98">
        <v>14</v>
      </c>
      <c r="R15" s="98">
        <v>36</v>
      </c>
      <c r="S15" s="100">
        <v>12</v>
      </c>
      <c r="T15" s="101">
        <v>10</v>
      </c>
      <c r="U15" s="101">
        <v>2</v>
      </c>
      <c r="V15" s="102">
        <v>0.18</v>
      </c>
      <c r="W15" s="101">
        <v>0</v>
      </c>
      <c r="X15" s="103">
        <v>0</v>
      </c>
      <c r="Y15" s="101">
        <v>12</v>
      </c>
      <c r="Z15" s="102">
        <v>1.9543973941368101E-2</v>
      </c>
      <c r="AA15" s="104"/>
    </row>
    <row r="16" spans="1:27" ht="39" customHeight="1">
      <c r="A16" s="91">
        <v>12</v>
      </c>
      <c r="B16" s="40" t="s">
        <v>31</v>
      </c>
      <c r="C16" s="92">
        <v>6196.52</v>
      </c>
      <c r="D16" s="92">
        <v>19067.25</v>
      </c>
      <c r="E16" s="92">
        <v>25263.77</v>
      </c>
      <c r="F16" s="92">
        <v>35</v>
      </c>
      <c r="G16" s="92">
        <v>119</v>
      </c>
      <c r="H16" s="92">
        <v>299</v>
      </c>
      <c r="I16" s="92">
        <v>124</v>
      </c>
      <c r="J16" s="92">
        <v>100</v>
      </c>
      <c r="K16" s="92">
        <v>75</v>
      </c>
      <c r="L16" s="92">
        <v>147</v>
      </c>
      <c r="M16" s="92">
        <v>43</v>
      </c>
      <c r="N16" s="92">
        <v>179</v>
      </c>
      <c r="O16" s="93">
        <v>141.13837988826799</v>
      </c>
      <c r="P16" s="92">
        <v>4</v>
      </c>
      <c r="Q16" s="92">
        <v>6</v>
      </c>
      <c r="R16" s="92">
        <v>10</v>
      </c>
      <c r="S16" s="94">
        <v>2</v>
      </c>
      <c r="T16" s="92">
        <v>0</v>
      </c>
      <c r="U16" s="92">
        <v>2</v>
      </c>
      <c r="V16" s="105">
        <v>2.1999999999999999E-2</v>
      </c>
      <c r="W16" s="92">
        <v>0</v>
      </c>
      <c r="X16" s="87">
        <v>0</v>
      </c>
      <c r="Y16" s="92">
        <v>2</v>
      </c>
      <c r="Z16" s="87">
        <v>1.11731843575419E-2</v>
      </c>
      <c r="AA16" s="95">
        <v>392</v>
      </c>
    </row>
    <row r="17" spans="1:27" s="71" customFormat="1" ht="39" customHeight="1">
      <c r="A17" s="96">
        <v>13</v>
      </c>
      <c r="B17" s="97" t="s">
        <v>32</v>
      </c>
      <c r="C17" s="98">
        <v>9356.7000000000007</v>
      </c>
      <c r="D17" s="98">
        <v>8797.27</v>
      </c>
      <c r="E17" s="98">
        <v>18153.97</v>
      </c>
      <c r="F17" s="98">
        <v>28</v>
      </c>
      <c r="G17" s="98">
        <v>63</v>
      </c>
      <c r="H17" s="98">
        <v>283</v>
      </c>
      <c r="I17" s="98">
        <v>120</v>
      </c>
      <c r="J17" s="98">
        <v>135</v>
      </c>
      <c r="K17" s="98">
        <v>28</v>
      </c>
      <c r="L17" s="98">
        <v>155</v>
      </c>
      <c r="M17" s="98">
        <v>28</v>
      </c>
      <c r="N17" s="98">
        <v>255</v>
      </c>
      <c r="O17" s="99">
        <v>71.192039215686293</v>
      </c>
      <c r="P17" s="98">
        <v>3</v>
      </c>
      <c r="Q17" s="98">
        <v>3</v>
      </c>
      <c r="R17" s="98">
        <v>6</v>
      </c>
      <c r="S17" s="100">
        <v>0</v>
      </c>
      <c r="T17" s="101">
        <v>0</v>
      </c>
      <c r="U17" s="101">
        <v>0</v>
      </c>
      <c r="V17" s="102">
        <v>0</v>
      </c>
      <c r="W17" s="101">
        <v>0</v>
      </c>
      <c r="X17" s="103">
        <v>0</v>
      </c>
      <c r="Y17" s="101">
        <v>0</v>
      </c>
      <c r="Z17" s="102">
        <v>0</v>
      </c>
      <c r="AA17" s="104">
        <v>659</v>
      </c>
    </row>
    <row r="18" spans="1:27" ht="39" customHeight="1">
      <c r="A18" s="91">
        <v>14</v>
      </c>
      <c r="B18" s="40" t="s">
        <v>33</v>
      </c>
      <c r="C18" s="92">
        <v>4525.2</v>
      </c>
      <c r="D18" s="92">
        <v>9439.93</v>
      </c>
      <c r="E18" s="92">
        <v>13965.13</v>
      </c>
      <c r="F18" s="92">
        <v>39</v>
      </c>
      <c r="G18" s="92">
        <v>70</v>
      </c>
      <c r="H18" s="92">
        <v>205</v>
      </c>
      <c r="I18" s="92">
        <v>40</v>
      </c>
      <c r="J18" s="92">
        <v>103</v>
      </c>
      <c r="K18" s="92">
        <v>62</v>
      </c>
      <c r="L18" s="92">
        <v>85</v>
      </c>
      <c r="M18" s="92">
        <v>30</v>
      </c>
      <c r="N18" s="92">
        <v>119</v>
      </c>
      <c r="O18" s="93">
        <v>117.354033613445</v>
      </c>
      <c r="P18" s="92">
        <v>3</v>
      </c>
      <c r="Q18" s="92">
        <v>6</v>
      </c>
      <c r="R18" s="92">
        <v>9</v>
      </c>
      <c r="S18" s="94">
        <v>2</v>
      </c>
      <c r="T18" s="92">
        <v>0</v>
      </c>
      <c r="U18" s="92">
        <v>2</v>
      </c>
      <c r="V18" s="105">
        <v>0.13</v>
      </c>
      <c r="W18" s="92">
        <v>0</v>
      </c>
      <c r="X18" s="87">
        <v>0</v>
      </c>
      <c r="Y18" s="92">
        <v>2</v>
      </c>
      <c r="Z18" s="87">
        <v>1.6806722689075598E-2</v>
      </c>
      <c r="AA18" s="95">
        <v>510</v>
      </c>
    </row>
    <row r="19" spans="1:27" s="71" customFormat="1" ht="39" customHeight="1">
      <c r="A19" s="96">
        <v>15</v>
      </c>
      <c r="B19" s="97" t="s">
        <v>34</v>
      </c>
      <c r="C19" s="98">
        <v>0</v>
      </c>
      <c r="D19" s="98">
        <v>0</v>
      </c>
      <c r="E19" s="98">
        <v>0</v>
      </c>
      <c r="F19" s="98">
        <v>33</v>
      </c>
      <c r="G19" s="98">
        <v>34</v>
      </c>
      <c r="H19" s="98">
        <v>27</v>
      </c>
      <c r="I19" s="98">
        <v>19</v>
      </c>
      <c r="J19" s="98">
        <v>8</v>
      </c>
      <c r="K19" s="98">
        <v>0</v>
      </c>
      <c r="L19" s="98">
        <v>11</v>
      </c>
      <c r="M19" s="98">
        <v>8</v>
      </c>
      <c r="N19" s="98">
        <v>0</v>
      </c>
      <c r="O19" s="99">
        <v>0</v>
      </c>
      <c r="P19" s="98">
        <v>2</v>
      </c>
      <c r="Q19" s="98">
        <v>2</v>
      </c>
      <c r="R19" s="98">
        <v>4</v>
      </c>
      <c r="S19" s="100">
        <v>0</v>
      </c>
      <c r="T19" s="101">
        <v>0</v>
      </c>
      <c r="U19" s="101">
        <v>0</v>
      </c>
      <c r="V19" s="102">
        <v>0</v>
      </c>
      <c r="W19" s="101">
        <v>0</v>
      </c>
      <c r="X19" s="103">
        <v>0</v>
      </c>
      <c r="Y19" s="101">
        <v>0</v>
      </c>
      <c r="Z19" s="102">
        <v>0</v>
      </c>
      <c r="AA19" s="104">
        <v>833</v>
      </c>
    </row>
    <row r="20" spans="1:27" ht="39" customHeight="1">
      <c r="A20" s="91">
        <v>16</v>
      </c>
      <c r="B20" s="106" t="s">
        <v>92</v>
      </c>
      <c r="C20" s="92">
        <v>6685.04</v>
      </c>
      <c r="D20" s="92">
        <v>8581.57</v>
      </c>
      <c r="E20" s="92">
        <v>15266.61</v>
      </c>
      <c r="F20" s="92">
        <v>16</v>
      </c>
      <c r="G20" s="92">
        <v>24</v>
      </c>
      <c r="H20" s="92">
        <v>187</v>
      </c>
      <c r="I20" s="92">
        <v>68</v>
      </c>
      <c r="J20" s="92">
        <v>117</v>
      </c>
      <c r="K20" s="92">
        <v>22</v>
      </c>
      <c r="L20" s="92">
        <v>167</v>
      </c>
      <c r="M20" s="92">
        <v>22</v>
      </c>
      <c r="N20" s="92">
        <v>150</v>
      </c>
      <c r="O20" s="93">
        <v>101.7774</v>
      </c>
      <c r="P20" s="92">
        <v>2</v>
      </c>
      <c r="Q20" s="92">
        <v>1</v>
      </c>
      <c r="R20" s="92">
        <v>3</v>
      </c>
      <c r="S20" s="94">
        <v>1</v>
      </c>
      <c r="T20" s="92">
        <v>1</v>
      </c>
      <c r="U20" s="92">
        <v>0</v>
      </c>
      <c r="V20" s="107">
        <v>0</v>
      </c>
      <c r="W20" s="92">
        <v>0</v>
      </c>
      <c r="X20" s="87">
        <v>0</v>
      </c>
      <c r="Y20" s="92">
        <v>1</v>
      </c>
      <c r="Z20" s="87">
        <v>6.6666666666666697E-3</v>
      </c>
      <c r="AA20" s="95">
        <v>495</v>
      </c>
    </row>
    <row r="21" spans="1:27" s="71" customFormat="1" ht="39" customHeight="1">
      <c r="A21" s="96">
        <v>17</v>
      </c>
      <c r="B21" s="108" t="s">
        <v>93</v>
      </c>
      <c r="C21" s="98">
        <v>7615.96</v>
      </c>
      <c r="D21" s="98">
        <v>2073.23</v>
      </c>
      <c r="E21" s="98">
        <v>9689.19</v>
      </c>
      <c r="F21" s="98">
        <v>24</v>
      </c>
      <c r="G21" s="98">
        <v>61</v>
      </c>
      <c r="H21" s="98">
        <v>97</v>
      </c>
      <c r="I21" s="98">
        <v>78</v>
      </c>
      <c r="J21" s="98">
        <v>14</v>
      </c>
      <c r="K21" s="98">
        <v>5</v>
      </c>
      <c r="L21" s="98">
        <v>90</v>
      </c>
      <c r="M21" s="98">
        <v>3</v>
      </c>
      <c r="N21" s="98">
        <v>92</v>
      </c>
      <c r="O21" s="99">
        <v>105.317282608696</v>
      </c>
      <c r="P21" s="98">
        <v>4</v>
      </c>
      <c r="Q21" s="98">
        <v>0</v>
      </c>
      <c r="R21" s="98">
        <v>4</v>
      </c>
      <c r="S21" s="100">
        <v>1</v>
      </c>
      <c r="T21" s="101">
        <v>1</v>
      </c>
      <c r="U21" s="101">
        <v>0</v>
      </c>
      <c r="V21" s="102">
        <v>0.11</v>
      </c>
      <c r="W21" s="101">
        <v>0</v>
      </c>
      <c r="X21" s="103">
        <v>0</v>
      </c>
      <c r="Y21" s="101">
        <v>1</v>
      </c>
      <c r="Z21" s="102">
        <v>1.0869565217391301E-2</v>
      </c>
      <c r="AA21" s="104">
        <v>535</v>
      </c>
    </row>
    <row r="22" spans="1:27" ht="39" customHeight="1">
      <c r="A22" s="91">
        <v>18</v>
      </c>
      <c r="B22" s="36" t="s">
        <v>37</v>
      </c>
      <c r="C22" s="92">
        <v>4714.04</v>
      </c>
      <c r="D22" s="92">
        <v>528.28</v>
      </c>
      <c r="E22" s="92">
        <v>5242.32</v>
      </c>
      <c r="F22" s="92">
        <v>35</v>
      </c>
      <c r="G22" s="92">
        <v>27</v>
      </c>
      <c r="H22" s="92">
        <v>120</v>
      </c>
      <c r="I22" s="92">
        <v>19</v>
      </c>
      <c r="J22" s="92">
        <v>0</v>
      </c>
      <c r="K22" s="92">
        <v>101</v>
      </c>
      <c r="L22" s="92">
        <v>0</v>
      </c>
      <c r="M22" s="92">
        <v>3</v>
      </c>
      <c r="N22" s="92">
        <v>17</v>
      </c>
      <c r="O22" s="93">
        <v>308.37176470588201</v>
      </c>
      <c r="P22" s="92">
        <v>1</v>
      </c>
      <c r="Q22" s="92">
        <v>0</v>
      </c>
      <c r="R22" s="92">
        <v>1</v>
      </c>
      <c r="S22" s="94">
        <v>1</v>
      </c>
      <c r="T22" s="92">
        <v>1</v>
      </c>
      <c r="U22" s="92">
        <v>0</v>
      </c>
      <c r="V22" s="107">
        <v>0.33</v>
      </c>
      <c r="W22" s="92">
        <v>0</v>
      </c>
      <c r="X22" s="87">
        <v>0</v>
      </c>
      <c r="Y22" s="92">
        <v>1</v>
      </c>
      <c r="Z22" s="87">
        <v>5.8823529411764698E-2</v>
      </c>
      <c r="AA22" s="95"/>
    </row>
    <row r="23" spans="1:27" ht="39" customHeight="1">
      <c r="A23" s="109"/>
      <c r="B23" s="110" t="s">
        <v>38</v>
      </c>
      <c r="C23" s="92">
        <v>83196.13</v>
      </c>
      <c r="D23" s="92">
        <v>53846</v>
      </c>
      <c r="E23" s="92">
        <v>137042.13</v>
      </c>
      <c r="F23" s="92">
        <v>321</v>
      </c>
      <c r="G23" s="92">
        <v>467</v>
      </c>
      <c r="H23" s="92">
        <v>2311</v>
      </c>
      <c r="I23" s="92">
        <v>1375</v>
      </c>
      <c r="J23" s="92">
        <v>728</v>
      </c>
      <c r="K23" s="92">
        <v>208</v>
      </c>
      <c r="L23" s="92">
        <v>1907</v>
      </c>
      <c r="M23" s="92">
        <v>211</v>
      </c>
      <c r="N23" s="92">
        <v>1866</v>
      </c>
      <c r="O23" s="81">
        <v>73.441655948553006</v>
      </c>
      <c r="P23" s="92">
        <v>67</v>
      </c>
      <c r="Q23" s="92">
        <v>25</v>
      </c>
      <c r="R23" s="92">
        <v>92</v>
      </c>
      <c r="S23" s="111">
        <v>27</v>
      </c>
      <c r="T23" s="92">
        <v>24</v>
      </c>
      <c r="U23" s="92">
        <v>3</v>
      </c>
      <c r="V23" s="107">
        <v>0.135277777777778</v>
      </c>
      <c r="W23" s="92">
        <v>2</v>
      </c>
      <c r="X23" s="107">
        <v>4.1111111111111097E-3</v>
      </c>
      <c r="Y23" s="92">
        <v>25</v>
      </c>
      <c r="Z23" s="107">
        <v>1.2255652907833399E-2</v>
      </c>
      <c r="AA23" s="95"/>
    </row>
  </sheetData>
  <mergeCells count="12">
    <mergeCell ref="G3:G4"/>
    <mergeCell ref="AA3:AA4"/>
    <mergeCell ref="F3:F4"/>
    <mergeCell ref="H3:O3"/>
    <mergeCell ref="P3:R3"/>
    <mergeCell ref="S3:Z3"/>
    <mergeCell ref="A2:A4"/>
    <mergeCell ref="B2:B4"/>
    <mergeCell ref="C3:E3"/>
    <mergeCell ref="A1:B1"/>
    <mergeCell ref="C1:AA1"/>
    <mergeCell ref="C2:AA2"/>
  </mergeCells>
  <phoneticPr fontId="2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6"/>
  <sheetViews>
    <sheetView topLeftCell="B49" zoomScale="65" zoomScaleNormal="65" workbookViewId="0">
      <selection activeCell="F44" sqref="F44"/>
    </sheetView>
  </sheetViews>
  <sheetFormatPr defaultColWidth="8.796875" defaultRowHeight="15.75"/>
  <cols>
    <col min="1" max="1" width="18.33203125" style="52" hidden="1" customWidth="1"/>
    <col min="2" max="2" width="10" style="53" customWidth="1"/>
    <col min="3" max="3" width="30.1328125" style="53" customWidth="1"/>
    <col min="4" max="4" width="14.796875" style="53"/>
    <col min="5" max="5" width="16.1328125" style="52"/>
    <col min="6" max="6" width="12.33203125" style="52" customWidth="1"/>
    <col min="7" max="8" width="12.796875" style="52" customWidth="1"/>
    <col min="9" max="9" width="8.796875" style="54"/>
    <col min="10" max="16384" width="8.796875" style="52"/>
  </cols>
  <sheetData>
    <row r="1" spans="1:9" ht="16.25" customHeight="1">
      <c r="A1" s="263"/>
    </row>
    <row r="2" spans="1:9" ht="34.799999999999997" customHeight="1">
      <c r="A2" s="263"/>
      <c r="C2" t="s">
        <v>40</v>
      </c>
      <c r="D2"/>
      <c r="E2"/>
      <c r="F2"/>
      <c r="G2"/>
      <c r="H2"/>
    </row>
    <row r="3" spans="1:9" s="51" customFormat="1" ht="22.05" customHeight="1">
      <c r="B3" s="55"/>
      <c r="C3"/>
      <c r="D3" s="33" t="s">
        <v>94</v>
      </c>
      <c r="E3" s="34" t="s">
        <v>95</v>
      </c>
      <c r="F3" s="34" t="s">
        <v>96</v>
      </c>
      <c r="G3" s="34"/>
      <c r="H3" s="34"/>
      <c r="I3" s="56" t="s">
        <v>38</v>
      </c>
    </row>
    <row r="4" spans="1:9" s="51" customFormat="1" ht="22.05" customHeight="1">
      <c r="A4" s="57"/>
      <c r="B4" s="55">
        <v>5</v>
      </c>
      <c r="C4" s="35" t="s">
        <v>20</v>
      </c>
      <c r="D4" t="e">
        <f>'总表-数据收集'!#REF!</f>
        <v>#REF!</v>
      </c>
      <c r="E4" t="e">
        <f>'总表-数据收集'!#REF!</f>
        <v>#REF!</v>
      </c>
      <c r="F4" t="e">
        <f>'总表-数据收集'!#REF!</f>
        <v>#REF!</v>
      </c>
      <c r="G4" t="e">
        <f>'总表-数据收集'!#REF!</f>
        <v>#REF!</v>
      </c>
      <c r="H4" t="e">
        <f>'总表-数据收集'!#REF!</f>
        <v>#REF!</v>
      </c>
      <c r="I4" s="56" t="e">
        <f>SUM(D4:H4)</f>
        <v>#REF!</v>
      </c>
    </row>
    <row r="5" spans="1:9" s="51" customFormat="1" ht="22.05" customHeight="1">
      <c r="A5" s="58" t="s">
        <v>55</v>
      </c>
      <c r="B5" s="55">
        <v>6</v>
      </c>
      <c r="C5" s="36" t="s">
        <v>21</v>
      </c>
      <c r="D5" t="e">
        <f>'总表-数据收集'!#REF!</f>
        <v>#REF!</v>
      </c>
      <c r="E5" t="e">
        <f>'总表-数据收集'!#REF!</f>
        <v>#REF!</v>
      </c>
      <c r="F5" t="e">
        <f>'总表-数据收集'!#REF!</f>
        <v>#REF!</v>
      </c>
      <c r="G5" t="e">
        <f>'总表-数据收集'!#REF!</f>
        <v>#REF!</v>
      </c>
      <c r="H5" t="e">
        <f>'总表-数据收集'!#REF!</f>
        <v>#REF!</v>
      </c>
      <c r="I5" s="56" t="e">
        <f t="shared" ref="I5:I21" si="0">SUM(D5:H5)</f>
        <v>#REF!</v>
      </c>
    </row>
    <row r="6" spans="1:9" s="51" customFormat="1" ht="22.05" customHeight="1">
      <c r="A6" s="59"/>
      <c r="B6" s="55">
        <v>7</v>
      </c>
      <c r="C6" s="37" t="s">
        <v>22</v>
      </c>
      <c r="D6" t="e">
        <f>'总表-数据收集'!#REF!</f>
        <v>#REF!</v>
      </c>
      <c r="E6" t="e">
        <f>'总表-数据收集'!#REF!</f>
        <v>#REF!</v>
      </c>
      <c r="F6" t="e">
        <f>'总表-数据收集'!#REF!</f>
        <v>#REF!</v>
      </c>
      <c r="G6" t="e">
        <f>'总表-数据收集'!#REF!</f>
        <v>#REF!</v>
      </c>
      <c r="H6" t="e">
        <f>'总表-数据收集'!#REF!</f>
        <v>#REF!</v>
      </c>
      <c r="I6" s="56" t="e">
        <f t="shared" si="0"/>
        <v>#REF!</v>
      </c>
    </row>
    <row r="7" spans="1:9" s="51" customFormat="1" ht="22.05" customHeight="1">
      <c r="A7" s="59"/>
      <c r="B7" s="55">
        <v>8</v>
      </c>
      <c r="C7" s="36" t="s">
        <v>23</v>
      </c>
      <c r="D7" t="e">
        <f>'总表-数据收集'!#REF!</f>
        <v>#REF!</v>
      </c>
      <c r="E7" t="e">
        <f>'总表-数据收集'!#REF!</f>
        <v>#REF!</v>
      </c>
      <c r="F7" t="e">
        <f>'总表-数据收集'!#REF!</f>
        <v>#REF!</v>
      </c>
      <c r="G7" t="e">
        <f>'总表-数据收集'!#REF!</f>
        <v>#REF!</v>
      </c>
      <c r="H7" t="e">
        <f>'总表-数据收集'!#REF!</f>
        <v>#REF!</v>
      </c>
      <c r="I7" s="56" t="e">
        <f t="shared" si="0"/>
        <v>#REF!</v>
      </c>
    </row>
    <row r="8" spans="1:9" s="51" customFormat="1" ht="22.05" customHeight="1">
      <c r="A8" s="59"/>
      <c r="B8" s="55">
        <v>9</v>
      </c>
      <c r="C8" s="38" t="s">
        <v>24</v>
      </c>
      <c r="D8" t="e">
        <f>'总表-数据收集'!#REF!</f>
        <v>#REF!</v>
      </c>
      <c r="E8" t="e">
        <f>'总表-数据收集'!#REF!</f>
        <v>#REF!</v>
      </c>
      <c r="F8" t="e">
        <f>'总表-数据收集'!#REF!</f>
        <v>#REF!</v>
      </c>
      <c r="G8" t="e">
        <f>'总表-数据收集'!#REF!</f>
        <v>#REF!</v>
      </c>
      <c r="H8" t="e">
        <f>'总表-数据收集'!#REF!</f>
        <v>#REF!</v>
      </c>
      <c r="I8" s="56" t="e">
        <f t="shared" si="0"/>
        <v>#REF!</v>
      </c>
    </row>
    <row r="9" spans="1:9" s="51" customFormat="1" ht="22.05" customHeight="1">
      <c r="A9" s="59"/>
      <c r="B9" s="55">
        <v>10</v>
      </c>
      <c r="C9" s="39" t="s">
        <v>25</v>
      </c>
      <c r="D9" t="e">
        <f>'总表-数据收集'!#REF!</f>
        <v>#REF!</v>
      </c>
      <c r="E9" t="e">
        <f>'总表-数据收集'!#REF!</f>
        <v>#REF!</v>
      </c>
      <c r="F9" t="e">
        <f>'总表-数据收集'!#REF!</f>
        <v>#REF!</v>
      </c>
      <c r="G9" t="e">
        <f>'总表-数据收集'!#REF!</f>
        <v>#REF!</v>
      </c>
      <c r="H9" t="e">
        <f>'总表-数据收集'!#REF!</f>
        <v>#REF!</v>
      </c>
      <c r="I9" s="56" t="e">
        <f t="shared" si="0"/>
        <v>#REF!</v>
      </c>
    </row>
    <row r="10" spans="1:9" s="51" customFormat="1" ht="22.05" customHeight="1">
      <c r="A10" s="59"/>
      <c r="B10" s="55">
        <v>11</v>
      </c>
      <c r="C10" s="38" t="s">
        <v>26</v>
      </c>
      <c r="D10" t="e">
        <f>'总表-数据收集'!#REF!</f>
        <v>#REF!</v>
      </c>
      <c r="E10" t="e">
        <f>'总表-数据收集'!#REF!</f>
        <v>#REF!</v>
      </c>
      <c r="F10" t="e">
        <f>'总表-数据收集'!#REF!</f>
        <v>#REF!</v>
      </c>
      <c r="G10" t="e">
        <f>'总表-数据收集'!#REF!</f>
        <v>#REF!</v>
      </c>
      <c r="H10" t="e">
        <f>'总表-数据收集'!#REF!</f>
        <v>#REF!</v>
      </c>
      <c r="I10" s="56" t="e">
        <f t="shared" si="0"/>
        <v>#REF!</v>
      </c>
    </row>
    <row r="11" spans="1:9" s="51" customFormat="1" ht="22.05" customHeight="1">
      <c r="B11" s="55">
        <v>12</v>
      </c>
      <c r="C11" s="40" t="s">
        <v>27</v>
      </c>
      <c r="D11" t="e">
        <f>'总表-数据收集'!#REF!</f>
        <v>#REF!</v>
      </c>
      <c r="E11" t="e">
        <f>'总表-数据收集'!#REF!</f>
        <v>#REF!</v>
      </c>
      <c r="F11" t="e">
        <f>'总表-数据收集'!#REF!</f>
        <v>#REF!</v>
      </c>
      <c r="G11" t="e">
        <f>'总表-数据收集'!#REF!</f>
        <v>#REF!</v>
      </c>
      <c r="H11" t="e">
        <f>'总表-数据收集'!#REF!</f>
        <v>#REF!</v>
      </c>
      <c r="I11" s="56" t="e">
        <f t="shared" si="0"/>
        <v>#REF!</v>
      </c>
    </row>
    <row r="12" spans="1:9" s="51" customFormat="1" ht="22.05" customHeight="1">
      <c r="B12" s="55">
        <v>13</v>
      </c>
      <c r="C12" s="38" t="s">
        <v>28</v>
      </c>
      <c r="D12" t="e">
        <f>'总表-数据收集'!#REF!</f>
        <v>#REF!</v>
      </c>
      <c r="E12" t="e">
        <f>'总表-数据收集'!#REF!</f>
        <v>#REF!</v>
      </c>
      <c r="F12" t="e">
        <f>'总表-数据收集'!#REF!</f>
        <v>#REF!</v>
      </c>
      <c r="G12" t="e">
        <f>'总表-数据收集'!#REF!</f>
        <v>#REF!</v>
      </c>
      <c r="H12" t="e">
        <f>'总表-数据收集'!#REF!</f>
        <v>#REF!</v>
      </c>
      <c r="I12" s="56" t="e">
        <f t="shared" si="0"/>
        <v>#REF!</v>
      </c>
    </row>
    <row r="13" spans="1:9" s="51" customFormat="1" ht="22.05" customHeight="1">
      <c r="B13" s="55">
        <v>14</v>
      </c>
      <c r="C13" s="41" t="s">
        <v>29</v>
      </c>
      <c r="D13" t="e">
        <f>'总表-数据收集'!#REF!</f>
        <v>#REF!</v>
      </c>
      <c r="E13" t="e">
        <f>'总表-数据收集'!#REF!</f>
        <v>#REF!</v>
      </c>
      <c r="F13" t="e">
        <f>'总表-数据收集'!#REF!</f>
        <v>#REF!</v>
      </c>
      <c r="G13" t="e">
        <f>'总表-数据收集'!#REF!</f>
        <v>#REF!</v>
      </c>
      <c r="H13" t="e">
        <f>'总表-数据收集'!#REF!</f>
        <v>#REF!</v>
      </c>
      <c r="I13" s="56" t="e">
        <f t="shared" si="0"/>
        <v>#REF!</v>
      </c>
    </row>
    <row r="14" spans="1:9" s="51" customFormat="1" ht="22.05" customHeight="1">
      <c r="B14" s="55">
        <v>15</v>
      </c>
      <c r="C14" s="38" t="s">
        <v>30</v>
      </c>
      <c r="D14" t="e">
        <f>'总表-数据收集'!#REF!</f>
        <v>#REF!</v>
      </c>
      <c r="E14" t="e">
        <f>'总表-数据收集'!#REF!</f>
        <v>#REF!</v>
      </c>
      <c r="F14" t="e">
        <f>'总表-数据收集'!#REF!</f>
        <v>#REF!</v>
      </c>
      <c r="G14" t="e">
        <f>'总表-数据收集'!#REF!</f>
        <v>#REF!</v>
      </c>
      <c r="H14" t="e">
        <f>'总表-数据收集'!#REF!</f>
        <v>#REF!</v>
      </c>
      <c r="I14" s="56" t="e">
        <f t="shared" si="0"/>
        <v>#REF!</v>
      </c>
    </row>
    <row r="15" spans="1:9" s="51" customFormat="1" ht="22.05" customHeight="1">
      <c r="A15" s="60"/>
      <c r="B15" s="55">
        <v>16</v>
      </c>
      <c r="C15" s="41" t="s">
        <v>31</v>
      </c>
      <c r="D15" t="e">
        <f>'总表-数据收集'!#REF!</f>
        <v>#REF!</v>
      </c>
      <c r="E15" t="e">
        <f>'总表-数据收集'!#REF!</f>
        <v>#REF!</v>
      </c>
      <c r="F15" t="e">
        <f>'总表-数据收集'!#REF!</f>
        <v>#REF!</v>
      </c>
      <c r="G15" t="e">
        <f>'总表-数据收集'!#REF!</f>
        <v>#REF!</v>
      </c>
      <c r="H15" t="e">
        <f>'总表-数据收集'!#REF!</f>
        <v>#REF!</v>
      </c>
      <c r="I15" s="56" t="e">
        <f t="shared" si="0"/>
        <v>#REF!</v>
      </c>
    </row>
    <row r="16" spans="1:9" s="51" customFormat="1" ht="22.05" customHeight="1">
      <c r="A16" s="58" t="s">
        <v>55</v>
      </c>
      <c r="B16" s="55">
        <v>17</v>
      </c>
      <c r="C16" s="38" t="s">
        <v>32</v>
      </c>
      <c r="D16" t="e">
        <f>'总表-数据收集'!#REF!</f>
        <v>#REF!</v>
      </c>
      <c r="E16" t="e">
        <f>'总表-数据收集'!#REF!</f>
        <v>#REF!</v>
      </c>
      <c r="F16" t="e">
        <f>'总表-数据收集'!#REF!</f>
        <v>#REF!</v>
      </c>
      <c r="G16" t="e">
        <f>'总表-数据收集'!#REF!</f>
        <v>#REF!</v>
      </c>
      <c r="H16" t="e">
        <f>'总表-数据收集'!#REF!</f>
        <v>#REF!</v>
      </c>
      <c r="I16" s="56" t="e">
        <f t="shared" si="0"/>
        <v>#REF!</v>
      </c>
    </row>
    <row r="17" spans="1:9" s="51" customFormat="1" ht="22.05" customHeight="1">
      <c r="A17" s="61"/>
      <c r="B17" s="55">
        <v>18</v>
      </c>
      <c r="C17" s="41" t="s">
        <v>33</v>
      </c>
      <c r="D17" t="e">
        <f>'总表-数据收集'!#REF!</f>
        <v>#REF!</v>
      </c>
      <c r="E17" t="e">
        <f>'总表-数据收集'!#REF!</f>
        <v>#REF!</v>
      </c>
      <c r="F17" t="e">
        <f>'总表-数据收集'!#REF!</f>
        <v>#REF!</v>
      </c>
      <c r="G17" t="e">
        <f>'总表-数据收集'!#REF!</f>
        <v>#REF!</v>
      </c>
      <c r="H17" t="e">
        <f>'总表-数据收集'!#REF!</f>
        <v>#REF!</v>
      </c>
      <c r="I17" s="56" t="e">
        <f t="shared" si="0"/>
        <v>#REF!</v>
      </c>
    </row>
    <row r="18" spans="1:9" s="51" customFormat="1" ht="22.05" customHeight="1">
      <c r="A18" s="61"/>
      <c r="B18" s="55">
        <v>19</v>
      </c>
      <c r="C18" s="38" t="s">
        <v>34</v>
      </c>
      <c r="D18" t="e">
        <f>'总表-数据收集'!#REF!</f>
        <v>#REF!</v>
      </c>
      <c r="E18" t="e">
        <f>'总表-数据收集'!#REF!</f>
        <v>#REF!</v>
      </c>
      <c r="F18" t="e">
        <f>'总表-数据收集'!#REF!</f>
        <v>#REF!</v>
      </c>
      <c r="G18" t="e">
        <f>'总表-数据收集'!#REF!</f>
        <v>#REF!</v>
      </c>
      <c r="H18" t="e">
        <f>'总表-数据收集'!#REF!</f>
        <v>#REF!</v>
      </c>
      <c r="I18" s="56" t="e">
        <f t="shared" si="0"/>
        <v>#REF!</v>
      </c>
    </row>
    <row r="19" spans="1:9" s="51" customFormat="1" ht="22.05" customHeight="1">
      <c r="A19" s="61"/>
      <c r="B19" s="55">
        <v>20</v>
      </c>
      <c r="C19" s="36" t="s">
        <v>35</v>
      </c>
      <c r="D19" t="e">
        <f>'总表-数据收集'!#REF!</f>
        <v>#REF!</v>
      </c>
      <c r="E19" t="e">
        <f>'总表-数据收集'!#REF!</f>
        <v>#REF!</v>
      </c>
      <c r="F19" t="e">
        <f>'总表-数据收集'!#REF!</f>
        <v>#REF!</v>
      </c>
      <c r="G19" t="e">
        <f>'总表-数据收集'!#REF!</f>
        <v>#REF!</v>
      </c>
      <c r="H19" t="e">
        <f>'总表-数据收集'!#REF!</f>
        <v>#REF!</v>
      </c>
      <c r="I19" s="56" t="e">
        <f t="shared" si="0"/>
        <v>#REF!</v>
      </c>
    </row>
    <row r="20" spans="1:9" s="51" customFormat="1" ht="22.05" customHeight="1">
      <c r="A20" s="61"/>
      <c r="B20" s="55">
        <v>21</v>
      </c>
      <c r="C20" s="43" t="s">
        <v>36</v>
      </c>
      <c r="D20" t="e">
        <f>'总表-数据收集'!#REF!</f>
        <v>#REF!</v>
      </c>
      <c r="E20" t="e">
        <f>'总表-数据收集'!#REF!</f>
        <v>#REF!</v>
      </c>
      <c r="F20" t="e">
        <f>'总表-数据收集'!#REF!</f>
        <v>#REF!</v>
      </c>
      <c r="G20" t="e">
        <f>'总表-数据收集'!#REF!</f>
        <v>#REF!</v>
      </c>
      <c r="H20" t="e">
        <f>'总表-数据收集'!#REF!</f>
        <v>#REF!</v>
      </c>
      <c r="I20" s="56" t="e">
        <f t="shared" si="0"/>
        <v>#REF!</v>
      </c>
    </row>
    <row r="21" spans="1:9" s="51" customFormat="1" ht="22.05" customHeight="1">
      <c r="A21" s="61"/>
      <c r="B21" s="55">
        <v>22</v>
      </c>
      <c r="C21" s="42" t="s">
        <v>37</v>
      </c>
      <c r="D21" t="e">
        <f>'总表-数据收集'!#REF!</f>
        <v>#REF!</v>
      </c>
      <c r="E21" t="e">
        <f>'总表-数据收集'!#REF!</f>
        <v>#REF!</v>
      </c>
      <c r="F21" t="e">
        <f>'总表-数据收集'!#REF!</f>
        <v>#REF!</v>
      </c>
      <c r="G21" t="e">
        <f>'总表-数据收集'!#REF!</f>
        <v>#REF!</v>
      </c>
      <c r="H21" t="e">
        <f>'总表-数据收集'!#REF!</f>
        <v>#REF!</v>
      </c>
      <c r="I21" s="56" t="e">
        <f t="shared" si="0"/>
        <v>#REF!</v>
      </c>
    </row>
    <row r="22" spans="1:9" s="51" customFormat="1" ht="22.05" customHeight="1">
      <c r="A22" s="61"/>
      <c r="B22" s="55"/>
      <c r="C22" s="42"/>
      <c r="D22" t="e">
        <f>SUM(D4:D21)</f>
        <v>#REF!</v>
      </c>
      <c r="E22" t="e">
        <f>SUM(E4:E21)</f>
        <v>#REF!</v>
      </c>
      <c r="F22" t="e">
        <f>SUM(F4:F21)</f>
        <v>#REF!</v>
      </c>
      <c r="G22"/>
      <c r="H22"/>
      <c r="I22" s="56"/>
    </row>
    <row r="23" spans="1:9" s="51" customFormat="1" ht="22.05" customHeight="1">
      <c r="A23" s="62"/>
      <c r="B23" s="63"/>
      <c r="C23" t="s">
        <v>63</v>
      </c>
      <c r="D23"/>
      <c r="E23"/>
      <c r="F23"/>
      <c r="G23"/>
      <c r="H23"/>
      <c r="I23" s="56"/>
    </row>
    <row r="24" spans="1:9" s="51" customFormat="1" ht="22.05" customHeight="1">
      <c r="A24" s="62"/>
      <c r="B24" s="63"/>
      <c r="C24"/>
      <c r="D24" s="33" t="s">
        <v>94</v>
      </c>
      <c r="E24" s="34" t="s">
        <v>95</v>
      </c>
      <c r="F24" s="34" t="s">
        <v>96</v>
      </c>
      <c r="G24" s="34"/>
      <c r="H24" s="34"/>
      <c r="I24" s="56" t="s">
        <v>38</v>
      </c>
    </row>
    <row r="25" spans="1:9" s="51" customFormat="1" ht="22.05" customHeight="1">
      <c r="A25" s="59"/>
      <c r="B25" s="55">
        <v>5</v>
      </c>
      <c r="C25" s="35" t="s">
        <v>20</v>
      </c>
      <c r="D25" t="e">
        <f>'总表-数据收集'!#REF!</f>
        <v>#REF!</v>
      </c>
      <c r="E25" t="e">
        <f>'总表-数据收集'!#REF!</f>
        <v>#REF!</v>
      </c>
      <c r="F25" t="e">
        <f>'总表-数据收集'!#REF!</f>
        <v>#REF!</v>
      </c>
      <c r="G25" t="e">
        <f>'总表-数据收集'!#REF!</f>
        <v>#REF!</v>
      </c>
      <c r="H25" t="e">
        <f>'总表-数据收集'!#REF!</f>
        <v>#REF!</v>
      </c>
      <c r="I25" s="56" t="e">
        <f>SUM(D25:H25)</f>
        <v>#REF!</v>
      </c>
    </row>
    <row r="26" spans="1:9" s="51" customFormat="1" ht="22.05" customHeight="1">
      <c r="A26" s="62"/>
      <c r="B26" s="55">
        <v>6</v>
      </c>
      <c r="C26" s="36" t="s">
        <v>21</v>
      </c>
      <c r="D26" t="e">
        <f>'总表-数据收集'!#REF!</f>
        <v>#REF!</v>
      </c>
      <c r="E26" t="e">
        <f>'总表-数据收集'!#REF!</f>
        <v>#REF!</v>
      </c>
      <c r="F26" t="e">
        <f>'总表-数据收集'!#REF!</f>
        <v>#REF!</v>
      </c>
      <c r="G26" t="e">
        <f>'总表-数据收集'!#REF!</f>
        <v>#REF!</v>
      </c>
      <c r="H26" t="e">
        <f>'总表-数据收集'!#REF!</f>
        <v>#REF!</v>
      </c>
      <c r="I26" s="56" t="e">
        <f t="shared" ref="I26:I42" si="1">SUM(D26:H26)</f>
        <v>#REF!</v>
      </c>
    </row>
    <row r="27" spans="1:9" s="51" customFormat="1" ht="22.05" customHeight="1">
      <c r="A27" s="62"/>
      <c r="B27" s="55">
        <v>7</v>
      </c>
      <c r="C27" s="37" t="s">
        <v>22</v>
      </c>
      <c r="D27" t="e">
        <f>'总表-数据收集'!#REF!</f>
        <v>#REF!</v>
      </c>
      <c r="E27" t="e">
        <f>'总表-数据收集'!#REF!</f>
        <v>#REF!</v>
      </c>
      <c r="F27" t="e">
        <f>'总表-数据收集'!#REF!</f>
        <v>#REF!</v>
      </c>
      <c r="G27" t="e">
        <f>'总表-数据收集'!#REF!</f>
        <v>#REF!</v>
      </c>
      <c r="H27" t="e">
        <f>'总表-数据收集'!#REF!</f>
        <v>#REF!</v>
      </c>
      <c r="I27" s="56" t="e">
        <f t="shared" si="1"/>
        <v>#REF!</v>
      </c>
    </row>
    <row r="28" spans="1:9" s="51" customFormat="1" ht="22.05" customHeight="1">
      <c r="B28" s="55">
        <v>8</v>
      </c>
      <c r="C28" s="36" t="s">
        <v>23</v>
      </c>
      <c r="D28" t="e">
        <f>'总表-数据收集'!#REF!</f>
        <v>#REF!</v>
      </c>
      <c r="E28" t="e">
        <f>'总表-数据收集'!#REF!</f>
        <v>#REF!</v>
      </c>
      <c r="F28" t="e">
        <f>'总表-数据收集'!#REF!</f>
        <v>#REF!</v>
      </c>
      <c r="G28" t="e">
        <f>'总表-数据收集'!#REF!</f>
        <v>#REF!</v>
      </c>
      <c r="H28" t="e">
        <f>'总表-数据收集'!#REF!</f>
        <v>#REF!</v>
      </c>
      <c r="I28" s="56" t="e">
        <f t="shared" si="1"/>
        <v>#REF!</v>
      </c>
    </row>
    <row r="29" spans="1:9" s="51" customFormat="1" ht="22.05" customHeight="1">
      <c r="B29" s="55">
        <v>9</v>
      </c>
      <c r="C29" s="38" t="s">
        <v>24</v>
      </c>
      <c r="D29" t="e">
        <f>'总表-数据收集'!#REF!</f>
        <v>#REF!</v>
      </c>
      <c r="E29" t="e">
        <f>'总表-数据收集'!#REF!</f>
        <v>#REF!</v>
      </c>
      <c r="F29" t="e">
        <f>'总表-数据收集'!#REF!</f>
        <v>#REF!</v>
      </c>
      <c r="G29" t="e">
        <f>'总表-数据收集'!#REF!</f>
        <v>#REF!</v>
      </c>
      <c r="H29" t="e">
        <f>'总表-数据收集'!#REF!</f>
        <v>#REF!</v>
      </c>
      <c r="I29" s="56" t="e">
        <f t="shared" si="1"/>
        <v>#REF!</v>
      </c>
    </row>
    <row r="30" spans="1:9" s="51" customFormat="1" ht="19.05" customHeight="1">
      <c r="B30" s="55">
        <v>10</v>
      </c>
      <c r="C30" s="39" t="s">
        <v>25</v>
      </c>
      <c r="D30" t="e">
        <f>'总表-数据收集'!#REF!</f>
        <v>#REF!</v>
      </c>
      <c r="E30" t="e">
        <f>'总表-数据收集'!#REF!</f>
        <v>#REF!</v>
      </c>
      <c r="F30" t="e">
        <f>'总表-数据收集'!#REF!</f>
        <v>#REF!</v>
      </c>
      <c r="G30" t="e">
        <f>'总表-数据收集'!#REF!</f>
        <v>#REF!</v>
      </c>
      <c r="H30" t="e">
        <f>'总表-数据收集'!#REF!</f>
        <v>#REF!</v>
      </c>
      <c r="I30" s="56" t="e">
        <f t="shared" si="1"/>
        <v>#REF!</v>
      </c>
    </row>
    <row r="31" spans="1:9" s="51" customFormat="1" ht="22.05" customHeight="1">
      <c r="A31" s="64"/>
      <c r="B31" s="55">
        <v>11</v>
      </c>
      <c r="C31" s="38" t="s">
        <v>26</v>
      </c>
      <c r="D31" t="e">
        <f>'总表-数据收集'!#REF!</f>
        <v>#REF!</v>
      </c>
      <c r="E31" t="e">
        <f>'总表-数据收集'!#REF!</f>
        <v>#REF!</v>
      </c>
      <c r="F31" t="e">
        <f>'总表-数据收集'!#REF!</f>
        <v>#REF!</v>
      </c>
      <c r="G31" t="e">
        <f>'总表-数据收集'!#REF!</f>
        <v>#REF!</v>
      </c>
      <c r="H31" t="e">
        <f>'总表-数据收集'!#REF!</f>
        <v>#REF!</v>
      </c>
      <c r="I31" s="56" t="e">
        <f t="shared" si="1"/>
        <v>#REF!</v>
      </c>
    </row>
    <row r="32" spans="1:9" s="51" customFormat="1" ht="22.05" customHeight="1">
      <c r="A32" s="58" t="s">
        <v>55</v>
      </c>
      <c r="B32" s="55">
        <v>12</v>
      </c>
      <c r="C32" s="40" t="s">
        <v>27</v>
      </c>
      <c r="D32" t="e">
        <f>'总表-数据收集'!#REF!</f>
        <v>#REF!</v>
      </c>
      <c r="E32" t="e">
        <f>'总表-数据收集'!#REF!</f>
        <v>#REF!</v>
      </c>
      <c r="F32" t="e">
        <f>'总表-数据收集'!#REF!</f>
        <v>#REF!</v>
      </c>
      <c r="G32" t="e">
        <f>'总表-数据收集'!#REF!</f>
        <v>#REF!</v>
      </c>
      <c r="H32" t="e">
        <f>'总表-数据收集'!#REF!</f>
        <v>#REF!</v>
      </c>
      <c r="I32" s="56" t="e">
        <f t="shared" si="1"/>
        <v>#REF!</v>
      </c>
    </row>
    <row r="33" spans="1:9" s="51" customFormat="1" ht="22.05" customHeight="1">
      <c r="B33" s="55">
        <v>13</v>
      </c>
      <c r="C33" s="38" t="s">
        <v>28</v>
      </c>
      <c r="D33" t="e">
        <f>'总表-数据收集'!#REF!</f>
        <v>#REF!</v>
      </c>
      <c r="E33" t="e">
        <f>'总表-数据收集'!#REF!</f>
        <v>#REF!</v>
      </c>
      <c r="F33" t="e">
        <f>'总表-数据收集'!#REF!</f>
        <v>#REF!</v>
      </c>
      <c r="G33" t="e">
        <f>'总表-数据收集'!#REF!</f>
        <v>#REF!</v>
      </c>
      <c r="H33" t="e">
        <f>'总表-数据收集'!#REF!</f>
        <v>#REF!</v>
      </c>
      <c r="I33" s="56" t="e">
        <f t="shared" si="1"/>
        <v>#REF!</v>
      </c>
    </row>
    <row r="34" spans="1:9" s="51" customFormat="1" ht="22.05" customHeight="1">
      <c r="B34" s="55">
        <v>14</v>
      </c>
      <c r="C34" s="41" t="s">
        <v>29</v>
      </c>
      <c r="D34" t="e">
        <f>'总表-数据收集'!#REF!</f>
        <v>#REF!</v>
      </c>
      <c r="E34" t="e">
        <f>'总表-数据收集'!#REF!</f>
        <v>#REF!</v>
      </c>
      <c r="F34" t="e">
        <f>'总表-数据收集'!#REF!</f>
        <v>#REF!</v>
      </c>
      <c r="G34" t="e">
        <f>'总表-数据收集'!#REF!</f>
        <v>#REF!</v>
      </c>
      <c r="H34" t="e">
        <f>'总表-数据收集'!#REF!</f>
        <v>#REF!</v>
      </c>
      <c r="I34" s="56" t="e">
        <f t="shared" si="1"/>
        <v>#REF!</v>
      </c>
    </row>
    <row r="35" spans="1:9" s="51" customFormat="1" ht="22.05" customHeight="1">
      <c r="B35" s="55">
        <v>15</v>
      </c>
      <c r="C35" s="38" t="s">
        <v>30</v>
      </c>
      <c r="D35" t="e">
        <f>'总表-数据收集'!#REF!</f>
        <v>#REF!</v>
      </c>
      <c r="E35" t="e">
        <f>'总表-数据收集'!#REF!</f>
        <v>#REF!</v>
      </c>
      <c r="F35" t="e">
        <f>'总表-数据收集'!#REF!</f>
        <v>#REF!</v>
      </c>
      <c r="G35" t="e">
        <f>'总表-数据收集'!#REF!</f>
        <v>#REF!</v>
      </c>
      <c r="H35" t="e">
        <f>'总表-数据收集'!#REF!</f>
        <v>#REF!</v>
      </c>
      <c r="I35" s="56" t="e">
        <f t="shared" si="1"/>
        <v>#REF!</v>
      </c>
    </row>
    <row r="36" spans="1:9" s="51" customFormat="1" ht="22.05" customHeight="1">
      <c r="B36" s="55">
        <v>16</v>
      </c>
      <c r="C36" s="41" t="s">
        <v>31</v>
      </c>
      <c r="D36" t="e">
        <f>'总表-数据收集'!#REF!</f>
        <v>#REF!</v>
      </c>
      <c r="E36" t="e">
        <f>'总表-数据收集'!#REF!</f>
        <v>#REF!</v>
      </c>
      <c r="F36" t="e">
        <f>'总表-数据收集'!#REF!</f>
        <v>#REF!</v>
      </c>
      <c r="G36" t="e">
        <f>'总表-数据收集'!#REF!</f>
        <v>#REF!</v>
      </c>
      <c r="H36" t="e">
        <f>'总表-数据收集'!#REF!</f>
        <v>#REF!</v>
      </c>
      <c r="I36" s="56" t="e">
        <f t="shared" si="1"/>
        <v>#REF!</v>
      </c>
    </row>
    <row r="37" spans="1:9" s="51" customFormat="1" ht="22.05" customHeight="1">
      <c r="B37" s="55">
        <v>17</v>
      </c>
      <c r="C37" s="38" t="s">
        <v>32</v>
      </c>
      <c r="D37" t="e">
        <f>'总表-数据收集'!#REF!</f>
        <v>#REF!</v>
      </c>
      <c r="E37" t="e">
        <f>'总表-数据收集'!#REF!</f>
        <v>#REF!</v>
      </c>
      <c r="F37" t="e">
        <f>'总表-数据收集'!#REF!</f>
        <v>#REF!</v>
      </c>
      <c r="G37" t="e">
        <f>'总表-数据收集'!#REF!</f>
        <v>#REF!</v>
      </c>
      <c r="H37" t="e">
        <f>'总表-数据收集'!#REF!</f>
        <v>#REF!</v>
      </c>
      <c r="I37" s="56" t="e">
        <f t="shared" si="1"/>
        <v>#REF!</v>
      </c>
    </row>
    <row r="38" spans="1:9" s="51" customFormat="1" ht="22.05" customHeight="1">
      <c r="B38" s="55">
        <v>18</v>
      </c>
      <c r="C38" s="41" t="s">
        <v>33</v>
      </c>
      <c r="D38" t="e">
        <f>'总表-数据收集'!#REF!</f>
        <v>#REF!</v>
      </c>
      <c r="E38" t="e">
        <f>'总表-数据收集'!#REF!</f>
        <v>#REF!</v>
      </c>
      <c r="F38" t="e">
        <f>'总表-数据收集'!#REF!</f>
        <v>#REF!</v>
      </c>
      <c r="G38" t="e">
        <f>'总表-数据收集'!#REF!</f>
        <v>#REF!</v>
      </c>
      <c r="H38" t="e">
        <f>'总表-数据收集'!#REF!</f>
        <v>#REF!</v>
      </c>
      <c r="I38" s="56" t="e">
        <f t="shared" si="1"/>
        <v>#REF!</v>
      </c>
    </row>
    <row r="39" spans="1:9" s="51" customFormat="1" ht="22.05" customHeight="1">
      <c r="B39" s="55">
        <v>19</v>
      </c>
      <c r="C39" s="38" t="s">
        <v>34</v>
      </c>
      <c r="D39" t="e">
        <f>'总表-数据收集'!#REF!</f>
        <v>#REF!</v>
      </c>
      <c r="E39" t="e">
        <f>'总表-数据收集'!#REF!</f>
        <v>#REF!</v>
      </c>
      <c r="F39" t="e">
        <f>'总表-数据收集'!#REF!</f>
        <v>#REF!</v>
      </c>
      <c r="G39" t="e">
        <f>'总表-数据收集'!#REF!</f>
        <v>#REF!</v>
      </c>
      <c r="H39" t="e">
        <f>'总表-数据收集'!#REF!</f>
        <v>#REF!</v>
      </c>
      <c r="I39" s="56" t="e">
        <f t="shared" si="1"/>
        <v>#REF!</v>
      </c>
    </row>
    <row r="40" spans="1:9" s="51" customFormat="1" ht="22.05" customHeight="1">
      <c r="B40" s="55">
        <v>20</v>
      </c>
      <c r="C40" s="36" t="s">
        <v>35</v>
      </c>
      <c r="D40" t="e">
        <f>'总表-数据收集'!#REF!</f>
        <v>#REF!</v>
      </c>
      <c r="E40" t="e">
        <f>'总表-数据收集'!#REF!</f>
        <v>#REF!</v>
      </c>
      <c r="F40" t="e">
        <f>'总表-数据收集'!#REF!</f>
        <v>#REF!</v>
      </c>
      <c r="G40" t="e">
        <f>'总表-数据收集'!#REF!</f>
        <v>#REF!</v>
      </c>
      <c r="H40" t="e">
        <f>'总表-数据收集'!#REF!</f>
        <v>#REF!</v>
      </c>
      <c r="I40" s="56" t="e">
        <f t="shared" si="1"/>
        <v>#REF!</v>
      </c>
    </row>
    <row r="41" spans="1:9" s="51" customFormat="1" ht="22.05" customHeight="1">
      <c r="B41" s="55">
        <v>21</v>
      </c>
      <c r="C41" s="43" t="s">
        <v>36</v>
      </c>
      <c r="D41" t="e">
        <f>'总表-数据收集'!#REF!</f>
        <v>#REF!</v>
      </c>
      <c r="E41" t="e">
        <f>'总表-数据收集'!#REF!</f>
        <v>#REF!</v>
      </c>
      <c r="F41" t="e">
        <f>'总表-数据收集'!#REF!</f>
        <v>#REF!</v>
      </c>
      <c r="G41" t="e">
        <f>'总表-数据收集'!#REF!</f>
        <v>#REF!</v>
      </c>
      <c r="H41" t="e">
        <f>'总表-数据收集'!#REF!</f>
        <v>#REF!</v>
      </c>
      <c r="I41" s="56" t="e">
        <f t="shared" si="1"/>
        <v>#REF!</v>
      </c>
    </row>
    <row r="42" spans="1:9" s="51" customFormat="1" ht="22.05" customHeight="1">
      <c r="B42" s="55">
        <v>22</v>
      </c>
      <c r="C42" s="42" t="s">
        <v>37</v>
      </c>
      <c r="D42" t="e">
        <f>'总表-数据收集'!#REF!</f>
        <v>#REF!</v>
      </c>
      <c r="E42" t="e">
        <f>'总表-数据收集'!#REF!</f>
        <v>#REF!</v>
      </c>
      <c r="F42" t="e">
        <f>'总表-数据收集'!#REF!</f>
        <v>#REF!</v>
      </c>
      <c r="G42" t="e">
        <f>'总表-数据收集'!#REF!</f>
        <v>#REF!</v>
      </c>
      <c r="H42" t="e">
        <f>'总表-数据收集'!#REF!</f>
        <v>#REF!</v>
      </c>
      <c r="I42" s="56" t="e">
        <f t="shared" si="1"/>
        <v>#REF!</v>
      </c>
    </row>
    <row r="43" spans="1:9" s="51" customFormat="1" ht="22.05" customHeight="1">
      <c r="B43" s="55"/>
      <c r="C43" s="42"/>
      <c r="D43" t="e">
        <f>SUM(D25:D42)</f>
        <v>#REF!</v>
      </c>
      <c r="E43" t="e">
        <f>SUM(E25:E42)</f>
        <v>#REF!</v>
      </c>
      <c r="F43" t="e">
        <f>SUM(F25:F42)</f>
        <v>#REF!</v>
      </c>
      <c r="G43"/>
      <c r="H43"/>
      <c r="I43" s="56"/>
    </row>
    <row r="44" spans="1:9" s="51" customFormat="1" ht="22.05" customHeight="1">
      <c r="B44" s="55"/>
      <c r="C44" t="s">
        <v>64</v>
      </c>
      <c r="D44" s="33" t="s">
        <v>94</v>
      </c>
      <c r="E44" s="34" t="s">
        <v>95</v>
      </c>
      <c r="F44" s="34" t="s">
        <v>96</v>
      </c>
      <c r="G44" s="34"/>
      <c r="H44" s="34"/>
      <c r="I44" s="56" t="s">
        <v>38</v>
      </c>
    </row>
    <row r="45" spans="1:9" s="51" customFormat="1" ht="22.05" customHeight="1">
      <c r="B45" s="55">
        <v>5</v>
      </c>
      <c r="C45" s="35" t="s">
        <v>20</v>
      </c>
      <c r="D45" t="e">
        <f>'总表-数据收集'!#REF!</f>
        <v>#REF!</v>
      </c>
      <c r="E45" t="e">
        <f>'总表-数据收集'!#REF!</f>
        <v>#REF!</v>
      </c>
      <c r="F45" t="e">
        <f>'总表-数据收集'!#REF!</f>
        <v>#REF!</v>
      </c>
      <c r="G45" t="e">
        <f>'总表-数据收集'!#REF!</f>
        <v>#REF!</v>
      </c>
      <c r="H45" t="e">
        <f>'总表-数据收集'!#REF!</f>
        <v>#REF!</v>
      </c>
      <c r="I45" s="56" t="e">
        <f>SUM(D45:H45)</f>
        <v>#REF!</v>
      </c>
    </row>
    <row r="46" spans="1:9" s="51" customFormat="1" ht="20" customHeight="1">
      <c r="B46" s="55">
        <v>6</v>
      </c>
      <c r="C46" s="36" t="s">
        <v>21</v>
      </c>
      <c r="D46" t="e">
        <f>'总表-数据收集'!#REF!</f>
        <v>#REF!</v>
      </c>
      <c r="E46" t="e">
        <f>'总表-数据收集'!#REF!</f>
        <v>#REF!</v>
      </c>
      <c r="F46" t="e">
        <f>'总表-数据收集'!#REF!</f>
        <v>#REF!</v>
      </c>
      <c r="G46" t="e">
        <f>'总表-数据收集'!#REF!</f>
        <v>#REF!</v>
      </c>
      <c r="H46" t="e">
        <f>'总表-数据收集'!#REF!</f>
        <v>#REF!</v>
      </c>
      <c r="I46" s="56" t="e">
        <f t="shared" ref="I46:I62" si="2">SUM(D46:H46)</f>
        <v>#REF!</v>
      </c>
    </row>
    <row r="47" spans="1:9" s="51" customFormat="1" ht="22.05" customHeight="1">
      <c r="A47" s="65"/>
      <c r="B47" s="55">
        <v>7</v>
      </c>
      <c r="C47" s="37" t="s">
        <v>22</v>
      </c>
      <c r="D47" t="e">
        <f>'总表-数据收集'!#REF!</f>
        <v>#REF!</v>
      </c>
      <c r="E47" t="e">
        <f>'总表-数据收集'!#REF!</f>
        <v>#REF!</v>
      </c>
      <c r="F47" t="e">
        <f>'总表-数据收集'!#REF!</f>
        <v>#REF!</v>
      </c>
      <c r="G47" t="e">
        <f>'总表-数据收集'!#REF!</f>
        <v>#REF!</v>
      </c>
      <c r="H47" t="e">
        <f>'总表-数据收集'!#REF!</f>
        <v>#REF!</v>
      </c>
      <c r="I47" s="56" t="e">
        <f t="shared" si="2"/>
        <v>#REF!</v>
      </c>
    </row>
    <row r="48" spans="1:9" s="51" customFormat="1" ht="22.05" customHeight="1">
      <c r="A48" s="58" t="s">
        <v>55</v>
      </c>
      <c r="B48" s="55">
        <v>8</v>
      </c>
      <c r="C48" s="36" t="s">
        <v>23</v>
      </c>
      <c r="D48" t="e">
        <f>'总表-数据收集'!#REF!</f>
        <v>#REF!</v>
      </c>
      <c r="E48" t="e">
        <f>'总表-数据收集'!#REF!</f>
        <v>#REF!</v>
      </c>
      <c r="F48" t="e">
        <f>'总表-数据收集'!#REF!</f>
        <v>#REF!</v>
      </c>
      <c r="G48" t="e">
        <f>'总表-数据收集'!#REF!</f>
        <v>#REF!</v>
      </c>
      <c r="H48" t="e">
        <f>'总表-数据收集'!#REF!</f>
        <v>#REF!</v>
      </c>
      <c r="I48" s="56" t="e">
        <f t="shared" si="2"/>
        <v>#REF!</v>
      </c>
    </row>
    <row r="49" spans="1:9" s="51" customFormat="1" ht="22.05" customHeight="1">
      <c r="B49" s="55">
        <v>9</v>
      </c>
      <c r="C49" s="38" t="s">
        <v>24</v>
      </c>
      <c r="D49" t="e">
        <f>'总表-数据收集'!#REF!</f>
        <v>#REF!</v>
      </c>
      <c r="E49" t="e">
        <f>'总表-数据收集'!#REF!</f>
        <v>#REF!</v>
      </c>
      <c r="F49" t="e">
        <f>'总表-数据收集'!#REF!</f>
        <v>#REF!</v>
      </c>
      <c r="G49" t="e">
        <f>'总表-数据收集'!#REF!</f>
        <v>#REF!</v>
      </c>
      <c r="H49" t="e">
        <f>'总表-数据收集'!#REF!</f>
        <v>#REF!</v>
      </c>
      <c r="I49" s="56" t="e">
        <f t="shared" si="2"/>
        <v>#REF!</v>
      </c>
    </row>
    <row r="50" spans="1:9" s="51" customFormat="1" ht="22.05" customHeight="1">
      <c r="B50" s="55">
        <v>10</v>
      </c>
      <c r="C50" s="39" t="s">
        <v>25</v>
      </c>
      <c r="D50" t="e">
        <f>'总表-数据收集'!#REF!</f>
        <v>#REF!</v>
      </c>
      <c r="E50" t="e">
        <f>'总表-数据收集'!#REF!</f>
        <v>#REF!</v>
      </c>
      <c r="F50" t="e">
        <f>'总表-数据收集'!#REF!</f>
        <v>#REF!</v>
      </c>
      <c r="G50" t="e">
        <f>'总表-数据收集'!#REF!</f>
        <v>#REF!</v>
      </c>
      <c r="H50" t="e">
        <f>'总表-数据收集'!#REF!</f>
        <v>#REF!</v>
      </c>
      <c r="I50" s="56" t="e">
        <f t="shared" si="2"/>
        <v>#REF!</v>
      </c>
    </row>
    <row r="51" spans="1:9" s="51" customFormat="1" ht="22.05" customHeight="1">
      <c r="B51" s="55">
        <v>11</v>
      </c>
      <c r="C51" s="38" t="s">
        <v>26</v>
      </c>
      <c r="D51" t="e">
        <f>'总表-数据收集'!#REF!</f>
        <v>#REF!</v>
      </c>
      <c r="E51" t="e">
        <f>'总表-数据收集'!#REF!</f>
        <v>#REF!</v>
      </c>
      <c r="F51" t="e">
        <f>'总表-数据收集'!#REF!</f>
        <v>#REF!</v>
      </c>
      <c r="G51" t="e">
        <f>'总表-数据收集'!#REF!</f>
        <v>#REF!</v>
      </c>
      <c r="H51" t="e">
        <f>'总表-数据收集'!#REF!</f>
        <v>#REF!</v>
      </c>
      <c r="I51" s="56" t="e">
        <f t="shared" si="2"/>
        <v>#REF!</v>
      </c>
    </row>
    <row r="52" spans="1:9" s="51" customFormat="1" ht="22.05" customHeight="1">
      <c r="B52" s="55">
        <v>12</v>
      </c>
      <c r="C52" s="40" t="s">
        <v>27</v>
      </c>
      <c r="D52" t="e">
        <f>'总表-数据收集'!#REF!</f>
        <v>#REF!</v>
      </c>
      <c r="E52" t="e">
        <f>'总表-数据收集'!#REF!</f>
        <v>#REF!</v>
      </c>
      <c r="F52" t="e">
        <f>'总表-数据收集'!#REF!</f>
        <v>#REF!</v>
      </c>
      <c r="G52" t="e">
        <f>'总表-数据收集'!#REF!</f>
        <v>#REF!</v>
      </c>
      <c r="H52" t="e">
        <f>'总表-数据收集'!#REF!</f>
        <v>#REF!</v>
      </c>
      <c r="I52" s="56" t="e">
        <f t="shared" si="2"/>
        <v>#REF!</v>
      </c>
    </row>
    <row r="53" spans="1:9" s="51" customFormat="1" ht="22.05" customHeight="1">
      <c r="B53" s="55">
        <v>13</v>
      </c>
      <c r="C53" s="38" t="s">
        <v>28</v>
      </c>
      <c r="D53" t="e">
        <f>'总表-数据收集'!#REF!</f>
        <v>#REF!</v>
      </c>
      <c r="E53" t="e">
        <f>'总表-数据收集'!#REF!</f>
        <v>#REF!</v>
      </c>
      <c r="F53" t="e">
        <f>'总表-数据收集'!#REF!</f>
        <v>#REF!</v>
      </c>
      <c r="G53" t="e">
        <f>'总表-数据收集'!#REF!</f>
        <v>#REF!</v>
      </c>
      <c r="H53" t="e">
        <f>'总表-数据收集'!#REF!</f>
        <v>#REF!</v>
      </c>
      <c r="I53" s="56" t="e">
        <f t="shared" si="2"/>
        <v>#REF!</v>
      </c>
    </row>
    <row r="54" spans="1:9" s="51" customFormat="1" ht="22.05" customHeight="1">
      <c r="B54" s="55">
        <v>14</v>
      </c>
      <c r="C54" s="41" t="s">
        <v>29</v>
      </c>
      <c r="D54" t="e">
        <f>'总表-数据收集'!#REF!</f>
        <v>#REF!</v>
      </c>
      <c r="E54" t="e">
        <f>'总表-数据收集'!#REF!</f>
        <v>#REF!</v>
      </c>
      <c r="F54" t="e">
        <f>'总表-数据收集'!#REF!</f>
        <v>#REF!</v>
      </c>
      <c r="G54" t="e">
        <f>'总表-数据收集'!#REF!</f>
        <v>#REF!</v>
      </c>
      <c r="H54" t="e">
        <f>'总表-数据收集'!#REF!</f>
        <v>#REF!</v>
      </c>
      <c r="I54" s="56" t="e">
        <f t="shared" si="2"/>
        <v>#REF!</v>
      </c>
    </row>
    <row r="55" spans="1:9" s="51" customFormat="1" ht="22.05" customHeight="1">
      <c r="B55" s="55">
        <v>15</v>
      </c>
      <c r="C55" s="38" t="s">
        <v>30</v>
      </c>
      <c r="D55" t="e">
        <f>'总表-数据收集'!#REF!</f>
        <v>#REF!</v>
      </c>
      <c r="E55" t="e">
        <f>'总表-数据收集'!#REF!</f>
        <v>#REF!</v>
      </c>
      <c r="F55" t="e">
        <f>'总表-数据收集'!#REF!</f>
        <v>#REF!</v>
      </c>
      <c r="G55" t="e">
        <f>'总表-数据收集'!#REF!</f>
        <v>#REF!</v>
      </c>
      <c r="H55" t="e">
        <f>'总表-数据收集'!#REF!</f>
        <v>#REF!</v>
      </c>
      <c r="I55" s="56" t="e">
        <f t="shared" si="2"/>
        <v>#REF!</v>
      </c>
    </row>
    <row r="56" spans="1:9" s="51" customFormat="1" ht="18.399999999999999">
      <c r="B56" s="55">
        <v>16</v>
      </c>
      <c r="C56" s="41" t="s">
        <v>31</v>
      </c>
      <c r="D56" t="e">
        <f>'总表-数据收集'!#REF!</f>
        <v>#REF!</v>
      </c>
      <c r="E56" t="e">
        <f>'总表-数据收集'!#REF!</f>
        <v>#REF!</v>
      </c>
      <c r="F56" t="e">
        <f>'总表-数据收集'!#REF!</f>
        <v>#REF!</v>
      </c>
      <c r="G56" t="e">
        <f>'总表-数据收集'!#REF!</f>
        <v>#REF!</v>
      </c>
      <c r="H56" t="e">
        <f>'总表-数据收集'!#REF!</f>
        <v>#REF!</v>
      </c>
      <c r="I56" s="56" t="e">
        <f t="shared" si="2"/>
        <v>#REF!</v>
      </c>
    </row>
    <row r="57" spans="1:9" s="51" customFormat="1" ht="22.05" customHeight="1">
      <c r="A57" s="66"/>
      <c r="B57" s="55">
        <v>17</v>
      </c>
      <c r="C57" s="38" t="s">
        <v>32</v>
      </c>
      <c r="D57" t="e">
        <f>'总表-数据收集'!#REF!</f>
        <v>#REF!</v>
      </c>
      <c r="E57" t="e">
        <f>'总表-数据收集'!#REF!</f>
        <v>#REF!</v>
      </c>
      <c r="F57" t="e">
        <f>'总表-数据收集'!#REF!</f>
        <v>#REF!</v>
      </c>
      <c r="G57" t="e">
        <f>'总表-数据收集'!#REF!</f>
        <v>#REF!</v>
      </c>
      <c r="H57" t="e">
        <f>'总表-数据收集'!#REF!</f>
        <v>#REF!</v>
      </c>
      <c r="I57" s="56" t="e">
        <f t="shared" si="2"/>
        <v>#REF!</v>
      </c>
    </row>
    <row r="58" spans="1:9" s="51" customFormat="1" ht="22.05" customHeight="1">
      <c r="A58" s="58" t="s">
        <v>55</v>
      </c>
      <c r="B58" s="55">
        <v>18</v>
      </c>
      <c r="C58" s="41" t="s">
        <v>33</v>
      </c>
      <c r="D58" t="e">
        <f>'总表-数据收集'!#REF!</f>
        <v>#REF!</v>
      </c>
      <c r="E58" t="e">
        <f>'总表-数据收集'!#REF!</f>
        <v>#REF!</v>
      </c>
      <c r="F58" t="e">
        <f>'总表-数据收集'!#REF!</f>
        <v>#REF!</v>
      </c>
      <c r="G58" t="e">
        <f>'总表-数据收集'!#REF!</f>
        <v>#REF!</v>
      </c>
      <c r="H58" t="e">
        <f>'总表-数据收集'!#REF!</f>
        <v>#REF!</v>
      </c>
      <c r="I58" s="56" t="e">
        <f t="shared" si="2"/>
        <v>#REF!</v>
      </c>
    </row>
    <row r="59" spans="1:9" s="51" customFormat="1" ht="22.05" customHeight="1">
      <c r="B59" s="55">
        <v>19</v>
      </c>
      <c r="C59" s="38" t="s">
        <v>34</v>
      </c>
      <c r="D59" t="e">
        <f>'总表-数据收集'!#REF!</f>
        <v>#REF!</v>
      </c>
      <c r="E59" t="e">
        <f>'总表-数据收集'!#REF!</f>
        <v>#REF!</v>
      </c>
      <c r="F59" t="e">
        <f>'总表-数据收集'!#REF!</f>
        <v>#REF!</v>
      </c>
      <c r="G59" t="e">
        <f>'总表-数据收集'!#REF!</f>
        <v>#REF!</v>
      </c>
      <c r="H59" t="e">
        <f>'总表-数据收集'!#REF!</f>
        <v>#REF!</v>
      </c>
      <c r="I59" s="56" t="e">
        <f t="shared" si="2"/>
        <v>#REF!</v>
      </c>
    </row>
    <row r="60" spans="1:9" s="51" customFormat="1" ht="22.05" customHeight="1">
      <c r="B60" s="55">
        <v>20</v>
      </c>
      <c r="C60" s="36" t="s">
        <v>35</v>
      </c>
      <c r="D60" t="e">
        <f>'总表-数据收集'!#REF!</f>
        <v>#REF!</v>
      </c>
      <c r="E60" t="e">
        <f>'总表-数据收集'!#REF!</f>
        <v>#REF!</v>
      </c>
      <c r="F60" t="e">
        <f>'总表-数据收集'!#REF!</f>
        <v>#REF!</v>
      </c>
      <c r="G60" t="e">
        <f>'总表-数据收集'!#REF!</f>
        <v>#REF!</v>
      </c>
      <c r="H60" t="e">
        <f>'总表-数据收集'!#REF!</f>
        <v>#REF!</v>
      </c>
      <c r="I60" s="56" t="e">
        <f t="shared" si="2"/>
        <v>#REF!</v>
      </c>
    </row>
    <row r="61" spans="1:9" s="51" customFormat="1" ht="22.05" customHeight="1">
      <c r="B61" s="55">
        <v>21</v>
      </c>
      <c r="C61" s="43" t="s">
        <v>36</v>
      </c>
      <c r="D61" t="e">
        <f>'总表-数据收集'!#REF!</f>
        <v>#REF!</v>
      </c>
      <c r="E61" t="e">
        <f>'总表-数据收集'!#REF!</f>
        <v>#REF!</v>
      </c>
      <c r="F61" t="e">
        <f>'总表-数据收集'!#REF!</f>
        <v>#REF!</v>
      </c>
      <c r="G61" t="e">
        <f>'总表-数据收集'!#REF!</f>
        <v>#REF!</v>
      </c>
      <c r="H61" t="e">
        <f>'总表-数据收集'!#REF!</f>
        <v>#REF!</v>
      </c>
      <c r="I61" s="56" t="e">
        <f t="shared" si="2"/>
        <v>#REF!</v>
      </c>
    </row>
    <row r="62" spans="1:9" s="51" customFormat="1" ht="22.05" customHeight="1">
      <c r="B62" s="55">
        <v>22</v>
      </c>
      <c r="C62" s="42" t="s">
        <v>37</v>
      </c>
      <c r="D62" t="e">
        <f>'总表-数据收集'!#REF!</f>
        <v>#REF!</v>
      </c>
      <c r="E62" t="e">
        <f>'总表-数据收集'!#REF!</f>
        <v>#REF!</v>
      </c>
      <c r="F62" t="e">
        <f>'总表-数据收集'!#REF!</f>
        <v>#REF!</v>
      </c>
      <c r="G62" t="e">
        <f>'总表-数据收集'!#REF!</f>
        <v>#REF!</v>
      </c>
      <c r="H62" t="e">
        <f>'总表-数据收集'!#REF!</f>
        <v>#REF!</v>
      </c>
      <c r="I62" s="56" t="e">
        <f t="shared" si="2"/>
        <v>#REF!</v>
      </c>
    </row>
    <row r="63" spans="1:9" s="51" customFormat="1" ht="22.05" customHeight="1">
      <c r="B63" s="55"/>
      <c r="C63" s="55"/>
      <c r="D63" s="55" t="e">
        <f>SUM(D45:D62)</f>
        <v>#REF!</v>
      </c>
      <c r="E63" s="55" t="e">
        <f>SUM(E45:E62)</f>
        <v>#REF!</v>
      </c>
      <c r="F63" s="51" t="e">
        <f>SUM(F45:F62)</f>
        <v>#REF!</v>
      </c>
      <c r="I63" s="56"/>
    </row>
    <row r="64" spans="1:9" s="51" customFormat="1" ht="22.05" customHeight="1">
      <c r="B64" s="55"/>
      <c r="C64" s="55"/>
      <c r="D64" s="55"/>
      <c r="I64" s="56"/>
    </row>
    <row r="65" spans="1:9" s="51" customFormat="1" ht="13.05" customHeight="1">
      <c r="B65" s="55"/>
      <c r="C65" s="55"/>
      <c r="D65" s="55"/>
      <c r="I65" s="56"/>
    </row>
    <row r="66" spans="1:9" s="51" customFormat="1" ht="13.05" customHeight="1">
      <c r="B66" s="55"/>
      <c r="C66" s="55"/>
      <c r="D66" s="55"/>
      <c r="I66" s="56"/>
    </row>
    <row r="67" spans="1:9" s="51" customFormat="1" ht="22.05" customHeight="1">
      <c r="A67" s="60"/>
      <c r="B67" s="55"/>
      <c r="C67" s="55"/>
      <c r="D67" s="55"/>
      <c r="I67" s="56"/>
    </row>
    <row r="68" spans="1:9" s="51" customFormat="1" ht="22.05" customHeight="1">
      <c r="A68" s="58" t="s">
        <v>55</v>
      </c>
      <c r="B68" s="55"/>
      <c r="C68" s="55"/>
      <c r="D68" s="55"/>
      <c r="I68" s="56"/>
    </row>
    <row r="69" spans="1:9" s="51" customFormat="1" ht="22.05" customHeight="1">
      <c r="B69" s="55"/>
      <c r="C69" s="55"/>
      <c r="D69" s="55"/>
      <c r="I69" s="56"/>
    </row>
    <row r="70" spans="1:9" s="51" customFormat="1" ht="22.05" customHeight="1">
      <c r="B70" s="55"/>
      <c r="C70" s="55"/>
      <c r="D70" s="55"/>
      <c r="I70" s="56"/>
    </row>
    <row r="71" spans="1:9" s="51" customFormat="1" ht="22.05" customHeight="1">
      <c r="B71" s="55"/>
      <c r="C71" s="55"/>
      <c r="D71" s="55"/>
      <c r="I71" s="56"/>
    </row>
    <row r="72" spans="1:9" s="51" customFormat="1" ht="22.05" customHeight="1">
      <c r="B72" s="55"/>
      <c r="C72" s="55"/>
      <c r="D72" s="55"/>
      <c r="I72" s="56"/>
    </row>
    <row r="73" spans="1:9" s="51" customFormat="1" ht="22.05" customHeight="1">
      <c r="B73" s="55"/>
      <c r="C73" s="55"/>
      <c r="D73" s="55"/>
      <c r="I73" s="56"/>
    </row>
    <row r="74" spans="1:9" s="51" customFormat="1" ht="22.05" customHeight="1">
      <c r="B74" s="55"/>
      <c r="C74" s="55"/>
      <c r="D74" s="55"/>
      <c r="I74" s="56"/>
    </row>
    <row r="75" spans="1:9" s="51" customFormat="1" ht="22.05" customHeight="1">
      <c r="B75" s="55"/>
      <c r="C75" s="55"/>
      <c r="D75" s="55"/>
      <c r="I75" s="56"/>
    </row>
    <row r="76" spans="1:9" s="51" customFormat="1" ht="12" customHeight="1">
      <c r="B76" s="55"/>
      <c r="C76" s="55"/>
      <c r="D76" s="55"/>
      <c r="I76" s="56"/>
    </row>
    <row r="77" spans="1:9" s="51" customFormat="1" ht="22.05" customHeight="1">
      <c r="A77" s="64"/>
      <c r="B77" s="55"/>
      <c r="C77" s="55"/>
      <c r="D77" s="55"/>
      <c r="I77" s="56"/>
    </row>
    <row r="78" spans="1:9" s="51" customFormat="1" ht="22.05" customHeight="1">
      <c r="A78" s="58" t="s">
        <v>55</v>
      </c>
      <c r="B78" s="55"/>
      <c r="C78" s="55"/>
      <c r="D78" s="55"/>
      <c r="I78" s="56"/>
    </row>
    <row r="79" spans="1:9" s="51" customFormat="1" ht="22.05" customHeight="1">
      <c r="B79" s="55"/>
      <c r="C79" s="55"/>
      <c r="D79" s="55"/>
      <c r="I79" s="56"/>
    </row>
    <row r="80" spans="1:9" s="51" customFormat="1" ht="22.05" customHeight="1">
      <c r="B80" s="55"/>
      <c r="C80" s="55"/>
      <c r="D80" s="55"/>
      <c r="I80" s="56"/>
    </row>
    <row r="81" spans="1:9" s="51" customFormat="1" ht="22.05" customHeight="1">
      <c r="B81" s="55"/>
      <c r="C81" s="55"/>
      <c r="D81" s="55"/>
      <c r="I81" s="56"/>
    </row>
    <row r="82" spans="1:9" s="51" customFormat="1" ht="22.05" customHeight="1">
      <c r="B82" s="55"/>
      <c r="C82" s="55"/>
      <c r="D82" s="55"/>
      <c r="I82" s="56"/>
    </row>
    <row r="83" spans="1:9" s="51" customFormat="1" ht="22.05" customHeight="1">
      <c r="B83" s="55"/>
      <c r="C83" s="55"/>
      <c r="D83" s="55"/>
      <c r="I83" s="56"/>
    </row>
    <row r="84" spans="1:9" s="51" customFormat="1" ht="22.05" customHeight="1">
      <c r="B84" s="55"/>
      <c r="C84" s="55"/>
      <c r="D84" s="55"/>
      <c r="I84" s="56"/>
    </row>
    <row r="85" spans="1:9" s="51" customFormat="1" ht="22.05" customHeight="1">
      <c r="B85" s="55"/>
      <c r="C85" s="55"/>
      <c r="D85" s="55"/>
      <c r="I85" s="56"/>
    </row>
    <row r="86" spans="1:9" s="51" customFormat="1" ht="11" customHeight="1">
      <c r="B86" s="55"/>
      <c r="C86" s="55"/>
      <c r="D86" s="55"/>
      <c r="I86" s="56"/>
    </row>
    <row r="87" spans="1:9" s="51" customFormat="1" ht="22.05" customHeight="1">
      <c r="A87" s="65"/>
      <c r="B87" s="55"/>
      <c r="C87" s="55"/>
      <c r="D87" s="55"/>
      <c r="I87" s="56"/>
    </row>
    <row r="88" spans="1:9" s="51" customFormat="1" ht="22.05" customHeight="1">
      <c r="A88" s="58" t="s">
        <v>55</v>
      </c>
      <c r="B88" s="55"/>
      <c r="C88" s="55"/>
      <c r="D88" s="55"/>
      <c r="I88" s="56"/>
    </row>
    <row r="89" spans="1:9" s="51" customFormat="1" ht="22.05" customHeight="1">
      <c r="B89" s="55"/>
      <c r="C89" s="55"/>
      <c r="D89" s="55"/>
      <c r="I89" s="56"/>
    </row>
    <row r="90" spans="1:9" s="51" customFormat="1" ht="22.05" customHeight="1">
      <c r="B90" s="55"/>
      <c r="C90" s="55"/>
      <c r="D90" s="55"/>
      <c r="I90" s="56"/>
    </row>
    <row r="91" spans="1:9" s="51" customFormat="1" ht="22.05" customHeight="1">
      <c r="B91" s="55"/>
      <c r="C91" s="55"/>
      <c r="D91" s="55"/>
      <c r="I91" s="56"/>
    </row>
    <row r="92" spans="1:9" s="51" customFormat="1" ht="22.05" customHeight="1">
      <c r="B92" s="55"/>
      <c r="C92" s="55"/>
      <c r="D92" s="55"/>
      <c r="I92" s="56"/>
    </row>
    <row r="93" spans="1:9" s="51" customFormat="1" ht="22.05" customHeight="1">
      <c r="B93" s="55"/>
      <c r="C93" s="55"/>
      <c r="D93" s="55"/>
      <c r="I93" s="56"/>
    </row>
    <row r="94" spans="1:9" s="51" customFormat="1" ht="22.05" customHeight="1">
      <c r="B94" s="55"/>
      <c r="C94" s="55"/>
      <c r="D94" s="55"/>
      <c r="I94" s="56"/>
    </row>
    <row r="95" spans="1:9" s="51" customFormat="1" ht="22.05" customHeight="1">
      <c r="B95" s="55"/>
      <c r="C95" s="55"/>
      <c r="D95" s="55"/>
      <c r="I95" s="56"/>
    </row>
    <row r="96" spans="1:9" s="51" customFormat="1" ht="19.05" customHeight="1">
      <c r="B96" s="55"/>
      <c r="C96" s="55"/>
      <c r="D96" s="55"/>
      <c r="I96" s="56"/>
    </row>
    <row r="97" spans="1:9" s="51" customFormat="1" ht="22.05" customHeight="1">
      <c r="A97" s="57"/>
      <c r="B97" s="55"/>
      <c r="C97" s="55"/>
      <c r="D97" s="55"/>
      <c r="I97" s="56"/>
    </row>
    <row r="98" spans="1:9" s="51" customFormat="1" ht="22.05" customHeight="1">
      <c r="A98" s="58" t="s">
        <v>55</v>
      </c>
      <c r="B98" s="55"/>
      <c r="C98" s="55"/>
      <c r="D98" s="55"/>
      <c r="I98" s="56"/>
    </row>
    <row r="99" spans="1:9" s="51" customFormat="1" ht="22.05" customHeight="1">
      <c r="B99" s="55"/>
      <c r="C99" s="55"/>
      <c r="D99" s="55"/>
      <c r="I99" s="56"/>
    </row>
    <row r="100" spans="1:9" s="51" customFormat="1" ht="22.05" customHeight="1">
      <c r="B100" s="55"/>
      <c r="C100" s="55"/>
      <c r="D100" s="55"/>
      <c r="I100" s="56"/>
    </row>
    <row r="101" spans="1:9" s="51" customFormat="1" ht="22.05" customHeight="1">
      <c r="B101" s="55"/>
      <c r="C101" s="55"/>
      <c r="D101" s="55"/>
      <c r="I101" s="56"/>
    </row>
    <row r="102" spans="1:9" s="51" customFormat="1" ht="22.05" customHeight="1">
      <c r="B102" s="55"/>
      <c r="C102" s="55"/>
      <c r="D102" s="55"/>
      <c r="I102" s="56"/>
    </row>
    <row r="103" spans="1:9" s="51" customFormat="1" ht="22.05" customHeight="1">
      <c r="B103" s="55"/>
      <c r="C103" s="55"/>
      <c r="D103" s="55"/>
      <c r="I103" s="56"/>
    </row>
    <row r="104" spans="1:9" s="51" customFormat="1" ht="22.05" customHeight="1">
      <c r="B104" s="55"/>
      <c r="C104" s="55"/>
      <c r="D104" s="55"/>
      <c r="I104" s="56"/>
    </row>
    <row r="105" spans="1:9" s="51" customFormat="1" ht="22.05" customHeight="1">
      <c r="B105" s="55"/>
      <c r="C105" s="55"/>
      <c r="D105" s="55"/>
      <c r="I105" s="56"/>
    </row>
    <row r="106" spans="1:9" ht="16.899999999999999">
      <c r="C106" s="55"/>
      <c r="D106" s="55"/>
      <c r="E106" s="51"/>
      <c r="F106" s="51"/>
      <c r="G106" s="51"/>
      <c r="H106" s="51"/>
    </row>
    <row r="107" spans="1:9" ht="20.55" customHeight="1">
      <c r="A107" s="67"/>
      <c r="C107" s="55"/>
      <c r="D107" s="55"/>
      <c r="E107" s="51"/>
      <c r="F107" s="51"/>
      <c r="G107" s="51"/>
      <c r="H107" s="51"/>
    </row>
    <row r="108" spans="1:9" ht="20.55" customHeight="1">
      <c r="A108" s="58" t="s">
        <v>55</v>
      </c>
    </row>
    <row r="109" spans="1:9" ht="20.55" customHeight="1">
      <c r="A109" s="51"/>
    </row>
    <row r="110" spans="1:9" ht="20.55" customHeight="1">
      <c r="A110" s="51"/>
    </row>
    <row r="111" spans="1:9" ht="20.55" customHeight="1">
      <c r="A111" s="51"/>
    </row>
    <row r="112" spans="1:9" ht="20.55" customHeight="1">
      <c r="A112" s="51"/>
    </row>
    <row r="113" spans="1:6" ht="20.55" customHeight="1">
      <c r="A113" s="51"/>
      <c r="F113" s="68"/>
    </row>
    <row r="114" spans="1:6" ht="20.55" customHeight="1">
      <c r="A114" s="51"/>
    </row>
    <row r="115" spans="1:6" ht="20.55" customHeight="1">
      <c r="A115" s="51"/>
    </row>
    <row r="117" spans="1:6" ht="16.899999999999999">
      <c r="A117" s="69"/>
    </row>
    <row r="118" spans="1:6" ht="16.899999999999999">
      <c r="A118" s="58" t="s">
        <v>55</v>
      </c>
    </row>
    <row r="119" spans="1:6" ht="16.899999999999999">
      <c r="A119" s="51"/>
    </row>
    <row r="120" spans="1:6" ht="16.899999999999999">
      <c r="A120" s="51"/>
    </row>
    <row r="121" spans="1:6" ht="16.899999999999999">
      <c r="A121" s="51"/>
    </row>
    <row r="122" spans="1:6" ht="16.899999999999999">
      <c r="A122" s="51"/>
    </row>
    <row r="123" spans="1:6" ht="16.899999999999999">
      <c r="A123" s="51"/>
    </row>
    <row r="124" spans="1:6" ht="16.899999999999999">
      <c r="A124" s="51"/>
    </row>
    <row r="125" spans="1:6" ht="16.899999999999999">
      <c r="A125" s="51"/>
    </row>
    <row r="127" spans="1:6" ht="16.899999999999999">
      <c r="A127" s="69"/>
    </row>
    <row r="128" spans="1:6" ht="16.899999999999999">
      <c r="A128" s="58" t="s">
        <v>55</v>
      </c>
    </row>
    <row r="129" spans="1:1" ht="16.899999999999999">
      <c r="A129" s="51"/>
    </row>
    <row r="130" spans="1:1" ht="16.899999999999999">
      <c r="A130" s="51"/>
    </row>
    <row r="131" spans="1:1" ht="16.899999999999999">
      <c r="A131" s="51"/>
    </row>
    <row r="132" spans="1:1" ht="16.899999999999999">
      <c r="A132" s="51"/>
    </row>
    <row r="133" spans="1:1" ht="16.899999999999999">
      <c r="A133" s="51"/>
    </row>
    <row r="134" spans="1:1" ht="16.899999999999999">
      <c r="A134" s="51"/>
    </row>
    <row r="135" spans="1:1" ht="16.899999999999999">
      <c r="A135" s="51"/>
    </row>
    <row r="137" spans="1:1" ht="16.899999999999999">
      <c r="A137" s="69"/>
    </row>
    <row r="138" spans="1:1" ht="16.899999999999999">
      <c r="A138" s="58" t="s">
        <v>55</v>
      </c>
    </row>
    <row r="139" spans="1:1" ht="16.899999999999999">
      <c r="A139" s="51"/>
    </row>
    <row r="140" spans="1:1" ht="16.899999999999999">
      <c r="A140" s="51"/>
    </row>
    <row r="141" spans="1:1" ht="16.899999999999999">
      <c r="A141" s="51"/>
    </row>
    <row r="142" spans="1:1" ht="16.899999999999999">
      <c r="A142" s="51"/>
    </row>
    <row r="143" spans="1:1" ht="16.899999999999999">
      <c r="A143" s="51"/>
    </row>
    <row r="144" spans="1:1" ht="16.899999999999999">
      <c r="A144" s="51"/>
    </row>
    <row r="145" spans="1:1" ht="16.899999999999999">
      <c r="A145" s="51"/>
    </row>
    <row r="148" spans="1:1" ht="16.899999999999999">
      <c r="A148" s="69"/>
    </row>
    <row r="149" spans="1:1" ht="16.899999999999999">
      <c r="A149" s="58" t="s">
        <v>55</v>
      </c>
    </row>
    <row r="150" spans="1:1" ht="16.899999999999999">
      <c r="A150" s="51"/>
    </row>
    <row r="151" spans="1:1" ht="16.899999999999999">
      <c r="A151" s="51"/>
    </row>
    <row r="152" spans="1:1" ht="16.899999999999999">
      <c r="A152" s="51"/>
    </row>
    <row r="153" spans="1:1" ht="16.899999999999999">
      <c r="A153" s="51"/>
    </row>
    <row r="154" spans="1:1" ht="16.899999999999999">
      <c r="A154" s="51"/>
    </row>
    <row r="155" spans="1:1" ht="16.899999999999999">
      <c r="A155" s="51"/>
    </row>
    <row r="156" spans="1:1" ht="16.899999999999999">
      <c r="A156" s="51"/>
    </row>
    <row r="158" spans="1:1" ht="16.899999999999999">
      <c r="A158" s="69"/>
    </row>
    <row r="159" spans="1:1" ht="16.899999999999999">
      <c r="A159" s="58" t="s">
        <v>55</v>
      </c>
    </row>
    <row r="160" spans="1:1" ht="16.899999999999999">
      <c r="A160" s="51"/>
    </row>
    <row r="161" spans="1:1" ht="16.899999999999999">
      <c r="A161" s="51"/>
    </row>
    <row r="162" spans="1:1" ht="16.899999999999999">
      <c r="A162" s="51"/>
    </row>
    <row r="163" spans="1:1" ht="16.899999999999999">
      <c r="A163" s="51"/>
    </row>
    <row r="164" spans="1:1" ht="16.899999999999999">
      <c r="A164" s="51"/>
    </row>
    <row r="165" spans="1:1" ht="16.899999999999999">
      <c r="A165" s="51"/>
    </row>
    <row r="166" spans="1:1" ht="16.899999999999999">
      <c r="A166" s="51"/>
    </row>
    <row r="168" spans="1:1" ht="16.899999999999999">
      <c r="A168" s="69"/>
    </row>
    <row r="169" spans="1:1" ht="16.899999999999999">
      <c r="A169" s="58" t="s">
        <v>55</v>
      </c>
    </row>
    <row r="170" spans="1:1" ht="16.899999999999999">
      <c r="A170" s="51"/>
    </row>
    <row r="171" spans="1:1" ht="16.899999999999999">
      <c r="A171" s="51"/>
    </row>
    <row r="172" spans="1:1" ht="16.899999999999999">
      <c r="A172" s="51"/>
    </row>
    <row r="173" spans="1:1" ht="16.899999999999999">
      <c r="A173" s="51"/>
    </row>
    <row r="174" spans="1:1" ht="16.899999999999999">
      <c r="A174" s="51"/>
    </row>
    <row r="175" spans="1:1" ht="16.899999999999999">
      <c r="A175" s="51"/>
    </row>
    <row r="176" spans="1:1" ht="16.899999999999999">
      <c r="A176" s="51"/>
    </row>
  </sheetData>
  <mergeCells count="1">
    <mergeCell ref="A1:A2"/>
  </mergeCells>
  <phoneticPr fontId="27" type="noConversion"/>
  <conditionalFormatting sqref="A6:A7 A9:A10">
    <cfRule type="dataBar" priority="49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{9D997DCD-E45A-4D6F-B121-844E79909BA2}</x14:id>
        </ext>
      </extLst>
    </cfRule>
    <cfRule type="dataBar" priority="5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{D600E1A9-BCDC-40CD-92B1-9F4ED478D821}</x14:id>
        </ext>
      </extLst>
    </cfRule>
  </conditionalFormatting>
  <conditionalFormatting sqref="A8">
    <cfRule type="dataBar" priority="45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{A5F9891D-0C1B-40A8-99A5-6F0371BB363E}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{79938F73-625B-4990-A84F-11E4F9779477}</x14:id>
        </ext>
      </extLst>
    </cfRule>
  </conditionalFormatting>
  <conditionalFormatting sqref="A23:A24 A26:A27">
    <cfRule type="iconSet" priority="51">
      <iconSet iconSet="3Arrows">
        <cfvo type="percent" val="0"/>
        <cfvo type="num" val="0"/>
        <cfvo type="num" val="0"/>
      </iconSet>
    </cfRule>
  </conditionalFormatting>
  <conditionalFormatting sqref="A25">
    <cfRule type="dataBar" priority="43">
      <dataBar>
        <cfvo type="num" val="0"/>
        <cfvo type="num" val="1"/>
        <color theme="4" tint="0.39991454817346722"/>
      </dataBar>
      <extLst>
        <ext xmlns:x14="http://schemas.microsoft.com/office/spreadsheetml/2009/9/main" uri="{B025F937-C7B1-47D3-B67F-A62EFF666E3E}">
          <x14:id>{00C618C5-7BF7-42C1-9B8A-186C3CEDC960}</x14:id>
        </ext>
      </extLst>
    </cfRule>
    <cfRule type="dataBar" priority="4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{B5D17CB3-4877-4190-B6CB-4A1F37FC2117}</x14:id>
        </ext>
      </extLst>
    </cfRule>
  </conditionalFormatting>
  <pageMargins left="0.7" right="0.7" top="0.75" bottom="0.75" header="0.3" footer="0.3"/>
  <pageSetup paperSize="9" orientation="portrait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997DCD-E45A-4D6F-B121-844E79909BA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00E1A9-BCDC-40CD-92B1-9F4ED478D82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A6:A7 A9:A10</xm:sqref>
        </x14:conditionalFormatting>
        <x14:conditionalFormatting xmlns:xm="http://schemas.microsoft.com/office/excel/2006/main">
          <x14:cfRule type="dataBar" id="{A5F9891D-0C1B-40A8-99A5-6F0371BB363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938F73-625B-4990-A84F-11E4F977947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A8</xm:sqref>
        </x14:conditionalFormatting>
        <x14:conditionalFormatting xmlns:xm="http://schemas.microsoft.com/office/excel/2006/main">
          <x14:cfRule type="dataBar" id="{00C618C5-7BF7-42C1-9B8A-186C3CEDC96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D17CB3-4877-4190-B6CB-4A1F37FC21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A25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first="1" last="1" xr2:uid="{00000000-0003-0000-0300-000062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数据2!D125:E125</xm:f>
              <xm:sqref>A174</xm:sqref>
            </x14:sparkline>
          </x14:sparklines>
        </x14:sparklineGroup>
        <x14:sparklineGroup displayEmptyCellsAs="gap" high="1" low="1" first="1" last="1" xr2:uid="{00000000-0003-0000-0300-000061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数据2!D112:E112</xm:f>
              <xm:sqref>A173</xm:sqref>
            </x14:sparkline>
          </x14:sparklines>
        </x14:sparklineGroup>
        <x14:sparklineGroup displayEmptyCellsAs="gap" first="1" last="1" xr2:uid="{00000000-0003-0000-0300-000060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数据2!D99:E99</xm:f>
              <xm:sqref>A172</xm:sqref>
            </x14:sparkline>
          </x14:sparklines>
        </x14:sparklineGroup>
        <x14:sparklineGroup displayEmptyCellsAs="gap" first="1" last="1" xr2:uid="{00000000-0003-0000-0300-00005F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数据2!D115:E115</xm:f>
              <xm:sqref>A164</xm:sqref>
            </x14:sparkline>
          </x14:sparklines>
        </x14:sparklineGroup>
        <x14:sparklineGroup displayEmptyCellsAs="gap" high="1" low="1" first="1" last="1" xr2:uid="{00000000-0003-0000-0300-00005E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数据2!D102:E102</xm:f>
              <xm:sqref>A163</xm:sqref>
            </x14:sparkline>
          </x14:sparklines>
        </x14:sparklineGroup>
        <x14:sparklineGroup displayEmptyCellsAs="gap" first="1" last="1" xr2:uid="{00000000-0003-0000-0300-00005D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数据2!D89:E89</xm:f>
              <xm:sqref>A162</xm:sqref>
            </x14:sparkline>
          </x14:sparklines>
        </x14:sparklineGroup>
        <x14:sparklineGroup displayEmptyCellsAs="gap" first="1" last="1" xr2:uid="{00000000-0003-0000-0300-00005C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数据2!D105:E105</xm:f>
              <xm:sqref>A154</xm:sqref>
            </x14:sparkline>
          </x14:sparklines>
        </x14:sparklineGroup>
        <x14:sparklineGroup displayEmptyCellsAs="gap" high="1" low="1" first="1" last="1" xr2:uid="{00000000-0003-0000-0300-00005B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数据2!D92:E92</xm:f>
              <xm:sqref>A153</xm:sqref>
            </x14:sparkline>
          </x14:sparklines>
        </x14:sparklineGroup>
        <x14:sparklineGroup displayEmptyCellsAs="gap" first="1" last="1" xr2:uid="{00000000-0003-0000-0300-00005A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数据2!D79:E79</xm:f>
              <xm:sqref>A152</xm:sqref>
            </x14:sparkline>
          </x14:sparklines>
        </x14:sparklineGroup>
        <x14:sparklineGroup displayEmptyCellsAs="gap" first="1" last="1" xr2:uid="{00000000-0003-0000-0300-000059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数据2!D94:E94</xm:f>
              <xm:sqref>A143</xm:sqref>
            </x14:sparkline>
          </x14:sparklines>
        </x14:sparklineGroup>
        <x14:sparklineGroup displayEmptyCellsAs="gap" high="1" low="1" first="1" last="1" xr2:uid="{00000000-0003-0000-0300-000058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数据2!D81:E81</xm:f>
              <xm:sqref>A142</xm:sqref>
            </x14:sparkline>
          </x14:sparklines>
        </x14:sparklineGroup>
        <x14:sparklineGroup displayEmptyCellsAs="gap" first="1" last="1" xr2:uid="{00000000-0003-0000-0300-000057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数据2!D68:E68</xm:f>
              <xm:sqref>A141</xm:sqref>
            </x14:sparkline>
          </x14:sparklines>
        </x14:sparklineGroup>
        <x14:sparklineGroup displayEmptyCellsAs="gap" first="1" last="1" xr2:uid="{00000000-0003-0000-0300-000056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数据2!D84:E84</xm:f>
              <xm:sqref>A133</xm:sqref>
            </x14:sparkline>
          </x14:sparklines>
        </x14:sparklineGroup>
        <x14:sparklineGroup displayEmptyCellsAs="gap" high="1" low="1" first="1" last="1" xr2:uid="{00000000-0003-0000-0300-000055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数据2!D71:E71</xm:f>
              <xm:sqref>A132</xm:sqref>
            </x14:sparkline>
          </x14:sparklines>
        </x14:sparklineGroup>
        <x14:sparklineGroup displayEmptyCellsAs="gap" first="1" last="1" xr2:uid="{00000000-0003-0000-0300-000054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数据2!D58:E58</xm:f>
              <xm:sqref>A131</xm:sqref>
            </x14:sparkline>
          </x14:sparklines>
        </x14:sparklineGroup>
        <x14:sparklineGroup displayEmptyCellsAs="gap" first="1" last="1" xr2:uid="{00000000-0003-0000-0300-000053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数据2!D74:E74</xm:f>
              <xm:sqref>A123</xm:sqref>
            </x14:sparkline>
          </x14:sparklines>
        </x14:sparklineGroup>
        <x14:sparklineGroup displayEmptyCellsAs="gap" high="1" low="1" first="1" last="1" xr2:uid="{00000000-0003-0000-0300-000052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数据2!D61:E61</xm:f>
              <xm:sqref>A122</xm:sqref>
            </x14:sparkline>
          </x14:sparklines>
        </x14:sparklineGroup>
        <x14:sparklineGroup displayEmptyCellsAs="gap" first="1" last="1" xr2:uid="{00000000-0003-0000-0300-000051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数据2!D48:E48</xm:f>
              <xm:sqref>A121</xm:sqref>
            </x14:sparkline>
          </x14:sparklines>
        </x14:sparklineGroup>
        <x14:sparklineGroup displayEmptyCellsAs="gap" first="1" last="1" xr2:uid="{00000000-0003-0000-0300-000050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数据2!D64:E64</xm:f>
              <xm:sqref>A113</xm:sqref>
            </x14:sparkline>
          </x14:sparklines>
        </x14:sparklineGroup>
        <x14:sparklineGroup displayEmptyCellsAs="gap" high="1" low="1" first="1" last="1" xr2:uid="{00000000-0003-0000-0300-00004F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数据2!D51:E51</xm:f>
              <xm:sqref>A112</xm:sqref>
            </x14:sparkline>
          </x14:sparklines>
        </x14:sparklineGroup>
        <x14:sparklineGroup displayEmptyCellsAs="gap" first="1" last="1" xr2:uid="{00000000-0003-0000-0300-00004E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数据2!D31:E31</xm:f>
              <xm:sqref>A111</xm:sqref>
            </x14:sparkline>
          </x14:sparklines>
        </x14:sparklineGroup>
        <x14:sparklineGroup displayEmptyCellsAs="gap" first="1" last="1" xr2:uid="{00000000-0003-0000-0300-00004D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数据2!D54:E54</xm:f>
              <xm:sqref>A103</xm:sqref>
            </x14:sparkline>
          </x14:sparklines>
        </x14:sparklineGroup>
        <x14:sparklineGroup displayEmptyCellsAs="gap" high="1" low="1" first="1" last="1" xr2:uid="{00000000-0003-0000-0300-00004C000000}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数据2!D34:E34</xm:f>
              <xm:sqref>A102</xm:sqref>
            </x14:sparkline>
          </x14:sparklines>
        </x14:sparklineGroup>
        <x14:sparklineGroup displayEmptyCellsAs="gap" first="1" last="1" xr2:uid="{00000000-0003-0000-0300-00004B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数据2!D14:E14</xm:f>
              <xm:sqref>A101</xm:sqref>
            </x14:sparkline>
          </x14:sparklines>
        </x14:sparklineGroup>
        <x14:sparklineGroup displayEmptyCellsAs="gap" first="1" last="1" xr2:uid="{00000000-0003-0000-0300-00004A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数据2!D52:E52</xm:f>
              <xm:sqref>A93</xm:sqref>
            </x14:sparkline>
          </x14:sparklines>
        </x14:sparklineGroup>
        <x14:sparklineGroup displayEmptyCellsAs="gap" first="1" last="1" xr2:uid="{00000000-0003-0000-0300-000049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数据2!D32:E32</xm:f>
              <xm:sqref>A92</xm:sqref>
            </x14:sparkline>
          </x14:sparklines>
        </x14:sparklineGroup>
        <x14:sparklineGroup displayEmptyCellsAs="gap" first="1" last="1" xr2:uid="{00000000-0003-0000-0300-000048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数据2!D11:E11</xm:f>
              <xm:sqref>A91</xm:sqref>
            </x14:sparkline>
          </x14:sparklines>
        </x14:sparklineGroup>
        <x14:sparklineGroup displayEmptyCellsAs="gap" first="1" last="1" xr2:uid="{00000000-0003-0000-0300-000047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数据2!D51:E51</xm:f>
              <xm:sqref>A83</xm:sqref>
            </x14:sparkline>
          </x14:sparklines>
        </x14:sparklineGroup>
        <x14:sparklineGroup displayEmptyCellsAs="gap" first="1" last="1" xr2:uid="{00000000-0003-0000-0300-000046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数据2!D31:E31</xm:f>
              <xm:sqref>A82</xm:sqref>
            </x14:sparkline>
          </x14:sparklines>
        </x14:sparklineGroup>
        <x14:sparklineGroup displayEmptyCellsAs="gap" first="1" last="1" xr2:uid="{00000000-0003-0000-0300-000045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数据2!D10:E10</xm:f>
              <xm:sqref>A81</xm:sqref>
            </x14:sparkline>
          </x14:sparklines>
        </x14:sparklineGroup>
        <x14:sparklineGroup displayEmptyCellsAs="gap" first="1" last="1" xr2:uid="{00000000-0003-0000-0300-000044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数据2!D50:E50</xm:f>
              <xm:sqref>A73</xm:sqref>
            </x14:sparkline>
          </x14:sparklines>
        </x14:sparklineGroup>
        <x14:sparklineGroup displayEmptyCellsAs="gap" first="1" last="1" xr2:uid="{00000000-0003-0000-0300-000043000000}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数据2!D30:E30</xm:f>
              <xm:sqref>A72</xm:sqref>
            </x14:sparkline>
          </x14:sparklines>
        </x14:sparklineGroup>
        <x14:sparklineGroup displayEmptyCellsAs="gap" first="1" last="1" xr2:uid="{00000000-0003-0000-0300-000042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数据2!D9:E9</xm:f>
              <xm:sqref>A71</xm:sqref>
            </x14:sparkline>
          </x14:sparklines>
        </x14:sparklineGroup>
        <x14:sparklineGroup displayEmptyCellsAs="gap" first="1" last="1" xr2:uid="{00000000-0003-0000-0300-000041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数据2!D49:E49</xm:f>
              <xm:sqref>A63</xm:sqref>
            </x14:sparkline>
          </x14:sparklines>
        </x14:sparklineGroup>
        <x14:sparklineGroup displayEmptyCellsAs="gap" first="1" last="1" xr2:uid="{00000000-0003-0000-0300-000040000000}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数据2!D29:E29</xm:f>
              <xm:sqref>A62</xm:sqref>
            </x14:sparkline>
          </x14:sparklines>
        </x14:sparklineGroup>
        <x14:sparklineGroup displayEmptyCellsAs="gap" first="1" last="1" xr2:uid="{00000000-0003-0000-0300-00003F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数据2!D8:E8</xm:f>
              <xm:sqref>A61</xm:sqref>
            </x14:sparkline>
          </x14:sparklines>
        </x14:sparklineGroup>
        <x14:sparklineGroup displayEmptyCellsAs="gap" first="1" last="1" xr2:uid="{00000000-0003-0000-0300-00003E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数据2!D48:E48</xm:f>
              <xm:sqref>A53</xm:sqref>
            </x14:sparkline>
          </x14:sparklines>
        </x14:sparklineGroup>
        <x14:sparklineGroup displayEmptyCellsAs="gap" first="1" last="1" xr2:uid="{00000000-0003-0000-0300-00003D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数据2!D28:E28</xm:f>
              <xm:sqref>A52</xm:sqref>
            </x14:sparkline>
          </x14:sparklines>
        </x14:sparklineGroup>
        <x14:sparklineGroup displayEmptyCellsAs="gap" first="1" last="1" xr2:uid="{00000000-0003-0000-0300-00003C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数据2!D7:E7</xm:f>
              <xm:sqref>A51</xm:sqref>
            </x14:sparkline>
          </x14:sparklines>
        </x14:sparklineGroup>
        <x14:sparklineGroup displayEmptyCellsAs="gap" first="1" last="1" xr2:uid="{00000000-0003-0000-0300-00003B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数据2!D47:E47</xm:f>
              <xm:sqref>A37</xm:sqref>
            </x14:sparkline>
            <x14:sparkline>
              <xm:f>数据2!D48:E48</xm:f>
              <xm:sqref>A38</xm:sqref>
            </x14:sparkline>
            <x14:sparkline>
              <xm:f>数据2!D49:E49</xm:f>
              <xm:sqref>A39</xm:sqref>
            </x14:sparkline>
            <x14:sparkline>
              <xm:f>数据2!D50:E50</xm:f>
              <xm:sqref>A40</xm:sqref>
            </x14:sparkline>
            <x14:sparkline>
              <xm:f>数据2!D51:E51</xm:f>
              <xm:sqref>A41</xm:sqref>
            </x14:sparkline>
            <x14:sparkline>
              <xm:f>数据2!D51:E51</xm:f>
              <xm:sqref>A42</xm:sqref>
            </x14:sparkline>
            <x14:sparkline>
              <xm:f>数据2!D52:E52</xm:f>
              <xm:sqref>A43</xm:sqref>
            </x14:sparkline>
          </x14:sparklines>
        </x14:sparklineGroup>
        <x14:sparklineGroup displayEmptyCellsAs="gap" first="1" last="1" xr2:uid="{00000000-0003-0000-0300-00003A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数据2!D27:E27</xm:f>
              <xm:sqref>A36</xm:sqref>
            </x14:sparkline>
          </x14:sparklines>
        </x14:sparklineGroup>
        <x14:sparklineGroup displayEmptyCellsAs="gap" first="1" last="1" xr2:uid="{00000000-0003-0000-0300-000039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数据2!D6:E6</xm:f>
              <xm:sqref>A35</xm:sqref>
            </x14:sparkline>
          </x14:sparklines>
        </x14:sparklineGroup>
        <x14:sparklineGroup displayEmptyCellsAs="gap" first="1" last="1" xr2:uid="{00000000-0003-0000-0300-000038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数据2!D46:E46</xm:f>
              <xm:sqref>A27</xm:sqref>
            </x14:sparkline>
          </x14:sparklines>
        </x14:sparklineGroup>
        <x14:sparklineGroup displayEmptyCellsAs="gap" first="1" last="1" xr2:uid="{00000000-0003-0000-0300-000037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数据2!D26:E26</xm:f>
              <xm:sqref>A26</xm:sqref>
            </x14:sparkline>
          </x14:sparklines>
        </x14:sparklineGroup>
        <x14:sparklineGroup displayEmptyCellsAs="gap" first="1" last="1" xr2:uid="{00000000-0003-0000-0300-000036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数据2!D5:E5</xm:f>
              <xm:sqref>A25</xm:sqref>
            </x14:sparkline>
          </x14:sparklines>
        </x14:sparklineGroup>
        <x14:sparklineGroup displayEmptyCellsAs="gap" first="1" last="1" xr2:uid="{00000000-0003-0000-0300-000035000000}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数据2!D45:E45</xm:f>
              <xm:sqref>A10</xm:sqref>
            </x14:sparkline>
          </x14:sparklines>
        </x14:sparklineGroup>
        <x14:sparklineGroup displayEmptyCellsAs="gap" first="1" last="1" xr2:uid="{00000000-0003-0000-0300-000034000000}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数据2!D25:E25</xm:f>
              <xm:sqref>A9</xm:sqref>
            </x14:sparkline>
          </x14:sparklines>
        </x14:sparklineGroup>
        <x14:sparklineGroup displayEmptyCellsAs="gap" first="1" last="1" xr2:uid="{00000000-0003-0000-0300-000033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数据2!D4:E4</xm:f>
              <xm:sqref>A8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7"/>
  <sheetViews>
    <sheetView topLeftCell="A106" zoomScale="60" zoomScaleNormal="60" workbookViewId="0">
      <selection activeCell="D124" sqref="D124:E124"/>
    </sheetView>
  </sheetViews>
  <sheetFormatPr defaultColWidth="11" defaultRowHeight="13.9"/>
  <cols>
    <col min="2" max="2" width="11" style="44"/>
  </cols>
  <sheetData>
    <row r="1" spans="1:7">
      <c r="A1" s="34">
        <v>5</v>
      </c>
      <c r="B1" s="34"/>
      <c r="C1" s="34"/>
      <c r="D1" s="34"/>
      <c r="E1" s="34"/>
      <c r="F1" s="34"/>
      <c r="G1" s="34"/>
    </row>
    <row r="2" spans="1:7">
      <c r="A2" s="34" t="str">
        <f>'总表-数据收集'!B5</f>
        <v>花都广本</v>
      </c>
      <c r="B2" s="34"/>
      <c r="C2" s="34"/>
      <c r="D2" s="34"/>
      <c r="E2" s="34"/>
      <c r="F2" s="34"/>
      <c r="G2" s="34"/>
    </row>
    <row r="3" spans="1:7">
      <c r="A3" s="34"/>
      <c r="B3" s="34"/>
      <c r="C3" s="33" t="s">
        <v>94</v>
      </c>
      <c r="D3" s="34" t="s">
        <v>95</v>
      </c>
      <c r="E3" s="34" t="s">
        <v>96</v>
      </c>
      <c r="F3" s="34"/>
      <c r="G3" s="34"/>
    </row>
    <row r="4" spans="1:7">
      <c r="A4" s="34"/>
      <c r="B4" s="34" t="s">
        <v>40</v>
      </c>
      <c r="C4" s="34" t="e">
        <f>'总表-数据收集'!#REF!</f>
        <v>#REF!</v>
      </c>
      <c r="D4" s="34" t="e">
        <f>'总表-数据收集'!#REF!</f>
        <v>#REF!</v>
      </c>
      <c r="E4" s="34" t="e">
        <f>'总表-数据收集'!#REF!</f>
        <v>#REF!</v>
      </c>
      <c r="F4" s="34" t="e">
        <f>'总表-数据收集'!#REF!</f>
        <v>#REF!</v>
      </c>
      <c r="G4" s="34" t="e">
        <f>'总表-数据收集'!#REF!</f>
        <v>#REF!</v>
      </c>
    </row>
    <row r="5" spans="1:7">
      <c r="A5" s="34"/>
      <c r="B5" s="34" t="s">
        <v>63</v>
      </c>
      <c r="C5" s="34" t="e">
        <f>'总表-数据收集'!#REF!</f>
        <v>#REF!</v>
      </c>
      <c r="D5" s="34" t="e">
        <f>'总表-数据收集'!#REF!</f>
        <v>#REF!</v>
      </c>
      <c r="E5" s="34" t="e">
        <f>'总表-数据收集'!#REF!</f>
        <v>#REF!</v>
      </c>
      <c r="F5" s="34" t="e">
        <f>'总表-数据收集'!#REF!</f>
        <v>#REF!</v>
      </c>
      <c r="G5" s="34" t="e">
        <f>'总表-数据收集'!#REF!</f>
        <v>#REF!</v>
      </c>
    </row>
    <row r="6" spans="1:7">
      <c r="A6" s="34"/>
      <c r="B6" s="34" t="s">
        <v>64</v>
      </c>
      <c r="C6" s="34" t="e">
        <f>'总表-数据收集'!#REF!</f>
        <v>#REF!</v>
      </c>
      <c r="D6" s="34" t="e">
        <f>'总表-数据收集'!#REF!</f>
        <v>#REF!</v>
      </c>
      <c r="E6" s="34" t="e">
        <f>'总表-数据收集'!#REF!</f>
        <v>#REF!</v>
      </c>
      <c r="F6" s="34" t="e">
        <f>'总表-数据收集'!#REF!</f>
        <v>#REF!</v>
      </c>
      <c r="G6" s="34" t="e">
        <f>'总表-数据收集'!#REF!</f>
        <v>#REF!</v>
      </c>
    </row>
    <row r="9" spans="1:7">
      <c r="A9" s="34">
        <v>6</v>
      </c>
      <c r="B9" s="34"/>
      <c r="C9" s="34"/>
      <c r="D9" s="34"/>
      <c r="E9" s="34"/>
      <c r="F9" s="34"/>
      <c r="G9" s="34"/>
    </row>
    <row r="10" spans="1:7">
      <c r="A10" s="34" t="str">
        <f>'总表-数据收集'!B6</f>
        <v>花都建设北零跑</v>
      </c>
      <c r="B10" s="34"/>
      <c r="C10" s="34"/>
      <c r="D10" s="34"/>
      <c r="E10" s="34"/>
      <c r="F10" s="34"/>
      <c r="G10" s="34"/>
    </row>
    <row r="11" spans="1:7">
      <c r="A11" s="34"/>
      <c r="B11" s="34"/>
      <c r="C11" s="33" t="s">
        <v>94</v>
      </c>
      <c r="D11" s="34" t="s">
        <v>95</v>
      </c>
      <c r="E11" s="34" t="s">
        <v>96</v>
      </c>
      <c r="F11" s="34"/>
      <c r="G11" s="34"/>
    </row>
    <row r="12" spans="1:7">
      <c r="A12" s="34"/>
      <c r="B12" s="34" t="s">
        <v>40</v>
      </c>
      <c r="C12" s="34" t="e">
        <f>'总表-数据收集'!#REF!</f>
        <v>#REF!</v>
      </c>
      <c r="D12" s="34" t="e">
        <f>'总表-数据收集'!#REF!</f>
        <v>#REF!</v>
      </c>
      <c r="E12" s="34" t="e">
        <f>'总表-数据收集'!#REF!</f>
        <v>#REF!</v>
      </c>
      <c r="F12" s="34" t="e">
        <f>'总表-数据收集'!#REF!</f>
        <v>#REF!</v>
      </c>
      <c r="G12" s="34" t="e">
        <f>'总表-数据收集'!#REF!</f>
        <v>#REF!</v>
      </c>
    </row>
    <row r="13" spans="1:7">
      <c r="A13" s="34"/>
      <c r="B13" s="34" t="s">
        <v>63</v>
      </c>
      <c r="C13" s="34" t="e">
        <f>'总表-数据收集'!#REF!</f>
        <v>#REF!</v>
      </c>
      <c r="D13" s="34" t="e">
        <f>'总表-数据收集'!#REF!</f>
        <v>#REF!</v>
      </c>
      <c r="E13" s="34" t="e">
        <f>'总表-数据收集'!#REF!</f>
        <v>#REF!</v>
      </c>
      <c r="F13" s="34" t="e">
        <f>'总表-数据收集'!#REF!</f>
        <v>#REF!</v>
      </c>
      <c r="G13" s="34" t="e">
        <f>'总表-数据收集'!#REF!</f>
        <v>#REF!</v>
      </c>
    </row>
    <row r="14" spans="1:7">
      <c r="A14" s="34"/>
      <c r="B14" s="34" t="s">
        <v>64</v>
      </c>
      <c r="C14" s="34" t="e">
        <f>'总表-数据收集'!#REF!</f>
        <v>#REF!</v>
      </c>
      <c r="D14" s="34" t="e">
        <f>'总表-数据收集'!#REF!</f>
        <v>#REF!</v>
      </c>
      <c r="E14" s="34" t="e">
        <f>'总表-数据收集'!#REF!</f>
        <v>#REF!</v>
      </c>
      <c r="F14" s="34" t="e">
        <f>'总表-数据收集'!#REF!</f>
        <v>#REF!</v>
      </c>
      <c r="G14" s="34" t="e">
        <f>'总表-数据收集'!#REF!</f>
        <v>#REF!</v>
      </c>
    </row>
    <row r="15" spans="1:7">
      <c r="A15" s="1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34">
        <v>7</v>
      </c>
      <c r="B17" s="34"/>
      <c r="C17" s="34"/>
      <c r="D17" s="34"/>
      <c r="E17" s="34"/>
      <c r="F17" s="34"/>
      <c r="G17" s="34"/>
    </row>
    <row r="18" spans="1:7">
      <c r="A18" s="34" t="str">
        <f>'总表-数据收集'!B7</f>
        <v>白云零跑</v>
      </c>
      <c r="B18" s="34"/>
      <c r="C18" s="34"/>
      <c r="D18" s="34"/>
      <c r="E18" s="34"/>
      <c r="F18" s="34"/>
      <c r="G18" s="34"/>
    </row>
    <row r="19" spans="1:7">
      <c r="A19" s="34"/>
      <c r="B19" s="34"/>
      <c r="C19" s="33" t="s">
        <v>94</v>
      </c>
      <c r="D19" s="34" t="s">
        <v>95</v>
      </c>
      <c r="E19" s="34" t="s">
        <v>96</v>
      </c>
      <c r="F19" s="34"/>
      <c r="G19" s="34"/>
    </row>
    <row r="20" spans="1:7">
      <c r="A20" s="34"/>
      <c r="B20" s="34" t="s">
        <v>40</v>
      </c>
      <c r="C20" s="34" t="e">
        <f>'总表-数据收集'!#REF!</f>
        <v>#REF!</v>
      </c>
      <c r="D20" s="34" t="e">
        <f>'总表-数据收集'!#REF!</f>
        <v>#REF!</v>
      </c>
      <c r="E20" s="34" t="e">
        <f>'总表-数据收集'!#REF!</f>
        <v>#REF!</v>
      </c>
      <c r="F20" s="34" t="e">
        <f>'总表-数据收集'!#REF!</f>
        <v>#REF!</v>
      </c>
      <c r="G20" s="34" t="e">
        <f>'总表-数据收集'!#REF!</f>
        <v>#REF!</v>
      </c>
    </row>
    <row r="21" spans="1:7">
      <c r="A21" s="34"/>
      <c r="B21" s="34" t="s">
        <v>63</v>
      </c>
      <c r="C21" s="34" t="e">
        <f>'总表-数据收集'!#REF!</f>
        <v>#REF!</v>
      </c>
      <c r="D21" s="34" t="e">
        <f>'总表-数据收集'!#REF!</f>
        <v>#REF!</v>
      </c>
      <c r="E21" s="34" t="e">
        <f>'总表-数据收集'!#REF!</f>
        <v>#REF!</v>
      </c>
      <c r="F21" s="34" t="e">
        <f>'总表-数据收集'!#REF!</f>
        <v>#REF!</v>
      </c>
      <c r="G21" s="34" t="e">
        <f>'总表-数据收集'!#REF!</f>
        <v>#REF!</v>
      </c>
    </row>
    <row r="22" spans="1:7">
      <c r="A22" s="34"/>
      <c r="B22" s="34" t="s">
        <v>64</v>
      </c>
      <c r="C22" s="34" t="e">
        <f>'总表-数据收集'!#REF!</f>
        <v>#REF!</v>
      </c>
      <c r="D22" s="34" t="e">
        <f>'总表-数据收集'!#REF!</f>
        <v>#REF!</v>
      </c>
      <c r="E22" s="34" t="e">
        <f>'总表-数据收集'!#REF!</f>
        <v>#REF!</v>
      </c>
      <c r="F22" s="34" t="e">
        <f>'总表-数据收集'!#REF!</f>
        <v>#REF!</v>
      </c>
      <c r="G22" s="34" t="e">
        <f>'总表-数据收集'!#REF!</f>
        <v>#REF!</v>
      </c>
    </row>
    <row r="24" spans="1:7">
      <c r="A24" s="34">
        <v>8</v>
      </c>
      <c r="B24" s="34"/>
      <c r="C24" s="34"/>
      <c r="D24" s="34"/>
      <c r="E24" s="34"/>
      <c r="F24" s="34"/>
      <c r="G24" s="34"/>
    </row>
    <row r="25" spans="1:7">
      <c r="A25" s="34" t="str">
        <f>'总表-数据收集'!B8</f>
        <v>花都传祺</v>
      </c>
      <c r="B25" s="34"/>
      <c r="C25" s="34"/>
      <c r="D25" s="34"/>
      <c r="E25" s="34"/>
      <c r="F25" s="34"/>
      <c r="G25" s="34"/>
    </row>
    <row r="26" spans="1:7">
      <c r="A26" s="34"/>
      <c r="B26" s="34"/>
      <c r="C26" s="33" t="s">
        <v>94</v>
      </c>
      <c r="D26" s="34" t="s">
        <v>95</v>
      </c>
      <c r="E26" s="34" t="s">
        <v>96</v>
      </c>
      <c r="F26" s="34"/>
      <c r="G26" s="34"/>
    </row>
    <row r="27" spans="1:7">
      <c r="A27" s="34"/>
      <c r="B27" s="34" t="s">
        <v>40</v>
      </c>
      <c r="C27" s="34" t="e">
        <f>'总表-数据收集'!#REF!</f>
        <v>#REF!</v>
      </c>
      <c r="D27" s="34" t="e">
        <f>'总表-数据收集'!#REF!</f>
        <v>#REF!</v>
      </c>
      <c r="E27" s="34" t="e">
        <f>'总表-数据收集'!#REF!</f>
        <v>#REF!</v>
      </c>
      <c r="F27" s="34" t="e">
        <f>'总表-数据收集'!#REF!</f>
        <v>#REF!</v>
      </c>
      <c r="G27" s="34" t="e">
        <f>'总表-数据收集'!#REF!</f>
        <v>#REF!</v>
      </c>
    </row>
    <row r="28" spans="1:7">
      <c r="A28" s="34"/>
      <c r="B28" s="34" t="s">
        <v>63</v>
      </c>
      <c r="C28" s="34" t="e">
        <f>'总表-数据收集'!#REF!</f>
        <v>#REF!</v>
      </c>
      <c r="D28" s="34" t="e">
        <f>'总表-数据收集'!#REF!</f>
        <v>#REF!</v>
      </c>
      <c r="E28" s="34" t="e">
        <f>'总表-数据收集'!#REF!</f>
        <v>#REF!</v>
      </c>
      <c r="F28" s="34" t="e">
        <f>'总表-数据收集'!#REF!</f>
        <v>#REF!</v>
      </c>
      <c r="G28" s="34" t="e">
        <f>'总表-数据收集'!#REF!</f>
        <v>#REF!</v>
      </c>
    </row>
    <row r="29" spans="1:7">
      <c r="A29" s="34"/>
      <c r="B29" s="34" t="s">
        <v>64</v>
      </c>
      <c r="C29" s="34" t="e">
        <f>'总表-数据收集'!#REF!</f>
        <v>#REF!</v>
      </c>
      <c r="D29" s="34" t="e">
        <f>'总表-数据收集'!#REF!</f>
        <v>#REF!</v>
      </c>
      <c r="E29" s="34" t="e">
        <f>'总表-数据收集'!#REF!</f>
        <v>#REF!</v>
      </c>
      <c r="F29" s="34" t="e">
        <f>'总表-数据收集'!#REF!</f>
        <v>#REF!</v>
      </c>
      <c r="G29" s="34" t="e">
        <f>'总表-数据收集'!#REF!</f>
        <v>#REF!</v>
      </c>
    </row>
    <row r="31" spans="1:7">
      <c r="A31" s="34">
        <v>9</v>
      </c>
      <c r="B31" s="34"/>
      <c r="C31" s="34"/>
      <c r="D31" s="34"/>
      <c r="E31" s="34"/>
      <c r="F31" s="34"/>
      <c r="G31" s="34"/>
    </row>
    <row r="32" spans="1:7">
      <c r="A32" s="34" t="str">
        <f>'总表-数据收集'!B9</f>
        <v>清远极氪</v>
      </c>
      <c r="B32" s="34"/>
      <c r="C32" s="34"/>
      <c r="D32" s="34"/>
      <c r="E32" s="34"/>
      <c r="F32" s="34"/>
      <c r="G32" s="34"/>
    </row>
    <row r="33" spans="1:7">
      <c r="A33" s="34"/>
      <c r="B33" s="34"/>
      <c r="C33" s="33" t="s">
        <v>94</v>
      </c>
      <c r="D33" s="34" t="s">
        <v>95</v>
      </c>
      <c r="E33" s="34" t="s">
        <v>96</v>
      </c>
      <c r="F33" s="34"/>
      <c r="G33" s="34"/>
    </row>
    <row r="34" spans="1:7">
      <c r="A34" s="34"/>
      <c r="B34" s="34" t="s">
        <v>40</v>
      </c>
      <c r="C34" s="34" t="e">
        <f>'总表-数据收集'!#REF!</f>
        <v>#REF!</v>
      </c>
      <c r="D34" s="34" t="e">
        <f>'总表-数据收集'!#REF!</f>
        <v>#REF!</v>
      </c>
      <c r="E34" s="34" t="e">
        <f>'总表-数据收集'!#REF!</f>
        <v>#REF!</v>
      </c>
      <c r="F34" s="34" t="e">
        <f>'总表-数据收集'!#REF!</f>
        <v>#REF!</v>
      </c>
      <c r="G34" s="34" t="e">
        <f>'总表-数据收集'!#REF!</f>
        <v>#REF!</v>
      </c>
    </row>
    <row r="35" spans="1:7">
      <c r="A35" s="34"/>
      <c r="B35" s="34" t="s">
        <v>63</v>
      </c>
      <c r="C35" s="34" t="e">
        <f>'总表-数据收集'!#REF!</f>
        <v>#REF!</v>
      </c>
      <c r="D35" s="34" t="e">
        <f>'总表-数据收集'!#REF!</f>
        <v>#REF!</v>
      </c>
      <c r="E35" s="34" t="e">
        <f>'总表-数据收集'!#REF!</f>
        <v>#REF!</v>
      </c>
      <c r="F35" s="34" t="e">
        <f>'总表-数据收集'!#REF!</f>
        <v>#REF!</v>
      </c>
      <c r="G35" s="34" t="e">
        <f>'总表-数据收集'!#REF!</f>
        <v>#REF!</v>
      </c>
    </row>
    <row r="36" spans="1:7">
      <c r="A36" s="34"/>
      <c r="B36" s="34" t="s">
        <v>64</v>
      </c>
      <c r="C36" s="34" t="e">
        <f>'总表-数据收集'!#REF!</f>
        <v>#REF!</v>
      </c>
      <c r="D36" s="34" t="e">
        <f>'总表-数据收集'!#REF!</f>
        <v>#REF!</v>
      </c>
      <c r="E36" s="34" t="e">
        <f>'总表-数据收集'!#REF!</f>
        <v>#REF!</v>
      </c>
      <c r="F36" s="34" t="e">
        <f>'总表-数据收集'!#REF!</f>
        <v>#REF!</v>
      </c>
      <c r="G36" s="34" t="e">
        <f>'总表-数据收集'!#REF!</f>
        <v>#REF!</v>
      </c>
    </row>
    <row r="38" spans="1:7">
      <c r="A38" s="34">
        <v>10</v>
      </c>
      <c r="B38" s="34"/>
      <c r="C38" s="34"/>
      <c r="D38" s="34"/>
      <c r="E38" s="34"/>
      <c r="F38" s="34"/>
      <c r="G38" s="34"/>
    </row>
    <row r="39" spans="1:7">
      <c r="A39" s="34" t="str">
        <f>'总表-数据收集'!B10</f>
        <v>清远广本</v>
      </c>
      <c r="B39" s="34"/>
      <c r="C39" s="34"/>
      <c r="D39" s="34"/>
      <c r="E39" s="34"/>
      <c r="F39" s="34"/>
      <c r="G39" s="34"/>
    </row>
    <row r="40" spans="1:7">
      <c r="A40" s="34"/>
      <c r="B40" s="34"/>
      <c r="C40" s="33" t="s">
        <v>94</v>
      </c>
      <c r="D40" s="34" t="s">
        <v>95</v>
      </c>
      <c r="E40" s="34" t="s">
        <v>96</v>
      </c>
      <c r="F40" s="34"/>
      <c r="G40" s="34"/>
    </row>
    <row r="41" spans="1:7">
      <c r="A41" s="34"/>
      <c r="B41" s="34" t="s">
        <v>40</v>
      </c>
      <c r="C41" s="34" t="e">
        <f>'总表-数据收集'!#REF!</f>
        <v>#REF!</v>
      </c>
      <c r="D41" s="34" t="e">
        <f>'总表-数据收集'!#REF!</f>
        <v>#REF!</v>
      </c>
      <c r="E41" s="34" t="e">
        <f>'总表-数据收集'!#REF!</f>
        <v>#REF!</v>
      </c>
      <c r="F41" s="34" t="e">
        <f>'总表-数据收集'!#REF!</f>
        <v>#REF!</v>
      </c>
      <c r="G41" s="34" t="e">
        <f>'总表-数据收集'!#REF!</f>
        <v>#REF!</v>
      </c>
    </row>
    <row r="42" spans="1:7">
      <c r="A42" s="34"/>
      <c r="B42" s="34" t="s">
        <v>63</v>
      </c>
      <c r="C42" s="34" t="e">
        <f>'总表-数据收集'!#REF!</f>
        <v>#REF!</v>
      </c>
      <c r="D42" s="34" t="e">
        <f>'总表-数据收集'!#REF!</f>
        <v>#REF!</v>
      </c>
      <c r="E42" s="34" t="e">
        <f>'总表-数据收集'!#REF!</f>
        <v>#REF!</v>
      </c>
      <c r="F42" s="34" t="e">
        <f>'总表-数据收集'!#REF!</f>
        <v>#REF!</v>
      </c>
      <c r="G42" s="34" t="e">
        <f>'总表-数据收集'!#REF!</f>
        <v>#REF!</v>
      </c>
    </row>
    <row r="43" spans="1:7">
      <c r="A43" s="45"/>
      <c r="B43" s="45" t="s">
        <v>64</v>
      </c>
      <c r="C43" s="45" t="e">
        <f>'总表-数据收集'!#REF!</f>
        <v>#REF!</v>
      </c>
      <c r="D43" s="45" t="e">
        <f>'总表-数据收集'!#REF!</f>
        <v>#REF!</v>
      </c>
      <c r="E43" s="34" t="e">
        <f>'总表-数据收集'!#REF!</f>
        <v>#REF!</v>
      </c>
      <c r="F43" s="34" t="e">
        <f>'总表-数据收集'!#REF!</f>
        <v>#REF!</v>
      </c>
      <c r="G43" s="34" t="e">
        <f>'总表-数据收集'!#REF!</f>
        <v>#REF!</v>
      </c>
    </row>
    <row r="45" spans="1:7">
      <c r="A45" s="46">
        <v>11</v>
      </c>
      <c r="B45" s="46"/>
      <c r="C45" s="47"/>
      <c r="D45" s="47"/>
      <c r="E45" s="47"/>
      <c r="F45" s="47"/>
      <c r="G45" s="47"/>
    </row>
    <row r="46" spans="1:7">
      <c r="A46" s="34" t="str">
        <f>'总表-数据收集'!B11</f>
        <v>鑫海广本</v>
      </c>
      <c r="B46" s="34"/>
      <c r="C46" s="48"/>
      <c r="D46" s="48"/>
      <c r="E46" s="48"/>
      <c r="F46" s="48"/>
      <c r="G46" s="48"/>
    </row>
    <row r="47" spans="1:7">
      <c r="A47" s="48"/>
      <c r="B47" s="34"/>
      <c r="C47" s="33" t="s">
        <v>94</v>
      </c>
      <c r="D47" s="34" t="s">
        <v>95</v>
      </c>
      <c r="E47" s="34" t="s">
        <v>96</v>
      </c>
      <c r="F47" s="34"/>
      <c r="G47" s="34"/>
    </row>
    <row r="48" spans="1:7">
      <c r="A48" s="48"/>
      <c r="B48" s="34" t="s">
        <v>40</v>
      </c>
      <c r="C48" s="48" t="e">
        <f>'总表-数据收集'!#REF!</f>
        <v>#REF!</v>
      </c>
      <c r="D48" s="34" t="e">
        <f>'总表-数据收集'!#REF!</f>
        <v>#REF!</v>
      </c>
      <c r="E48" s="34" t="e">
        <f>'总表-数据收集'!#REF!</f>
        <v>#REF!</v>
      </c>
      <c r="F48" s="34" t="e">
        <f>'总表-数据收集'!#REF!</f>
        <v>#REF!</v>
      </c>
      <c r="G48" s="34" t="e">
        <f>'总表-数据收集'!#REF!</f>
        <v>#REF!</v>
      </c>
    </row>
    <row r="49" spans="1:7">
      <c r="A49" s="48"/>
      <c r="B49" s="34" t="s">
        <v>63</v>
      </c>
      <c r="C49" s="48" t="e">
        <f>'总表-数据收集'!#REF!</f>
        <v>#REF!</v>
      </c>
      <c r="D49" s="34" t="e">
        <f>'总表-数据收集'!#REF!</f>
        <v>#REF!</v>
      </c>
      <c r="E49" s="34" t="e">
        <f>'总表-数据收集'!#REF!</f>
        <v>#REF!</v>
      </c>
      <c r="F49" s="34" t="e">
        <f>'总表-数据收集'!#REF!</f>
        <v>#REF!</v>
      </c>
      <c r="G49" s="34" t="e">
        <f>'总表-数据收集'!#REF!</f>
        <v>#REF!</v>
      </c>
    </row>
    <row r="50" spans="1:7">
      <c r="A50" s="48"/>
      <c r="B50" s="34" t="s">
        <v>64</v>
      </c>
      <c r="C50" s="48" t="e">
        <f>'总表-数据收集'!#REF!</f>
        <v>#REF!</v>
      </c>
      <c r="D50" s="34" t="e">
        <f>'总表-数据收集'!#REF!</f>
        <v>#REF!</v>
      </c>
      <c r="E50" s="34" t="e">
        <f>'总表-数据收集'!#REF!</f>
        <v>#REF!</v>
      </c>
      <c r="F50" s="34" t="e">
        <f>'总表-数据收集'!#REF!</f>
        <v>#REF!</v>
      </c>
      <c r="G50" s="34" t="e">
        <f>'总表-数据收集'!#REF!</f>
        <v>#REF!</v>
      </c>
    </row>
    <row r="52" spans="1:7">
      <c r="A52" s="34">
        <v>12</v>
      </c>
      <c r="B52" s="34"/>
      <c r="C52" s="34"/>
      <c r="D52" s="34"/>
      <c r="E52" s="34"/>
      <c r="F52" s="34"/>
      <c r="G52" s="34"/>
    </row>
    <row r="53" spans="1:7">
      <c r="A53" s="34" t="str">
        <f>'总表-数据收集'!B12</f>
        <v>汕头广本</v>
      </c>
      <c r="B53" s="34"/>
      <c r="C53" s="34"/>
      <c r="D53" s="34"/>
      <c r="E53" s="34"/>
      <c r="F53" s="34"/>
      <c r="G53" s="34"/>
    </row>
    <row r="54" spans="1:7">
      <c r="A54" s="34"/>
      <c r="B54" s="34"/>
      <c r="C54" s="33" t="s">
        <v>94</v>
      </c>
      <c r="D54" s="34" t="s">
        <v>95</v>
      </c>
      <c r="E54" s="34" t="s">
        <v>96</v>
      </c>
      <c r="F54" s="34"/>
      <c r="G54" s="34"/>
    </row>
    <row r="55" spans="1:7">
      <c r="A55" s="34"/>
      <c r="B55" s="34" t="s">
        <v>40</v>
      </c>
      <c r="C55" s="34" t="e">
        <f>'总表-数据收集'!#REF!</f>
        <v>#REF!</v>
      </c>
      <c r="D55" s="34" t="e">
        <f>'总表-数据收集'!#REF!</f>
        <v>#REF!</v>
      </c>
      <c r="E55" s="34" t="e">
        <f>'总表-数据收集'!#REF!</f>
        <v>#REF!</v>
      </c>
      <c r="F55" s="34" t="e">
        <f>'总表-数据收集'!#REF!</f>
        <v>#REF!</v>
      </c>
      <c r="G55" s="34" t="e">
        <f>'总表-数据收集'!#REF!</f>
        <v>#REF!</v>
      </c>
    </row>
    <row r="56" spans="1:7">
      <c r="A56" s="34"/>
      <c r="B56" s="34" t="s">
        <v>63</v>
      </c>
      <c r="C56" s="34" t="e">
        <f>'总表-数据收集'!#REF!</f>
        <v>#REF!</v>
      </c>
      <c r="D56" s="34" t="e">
        <f>'总表-数据收集'!#REF!</f>
        <v>#REF!</v>
      </c>
      <c r="E56" s="34" t="e">
        <f>'总表-数据收集'!#REF!</f>
        <v>#REF!</v>
      </c>
      <c r="F56" s="34" t="e">
        <f>'总表-数据收集'!#REF!</f>
        <v>#REF!</v>
      </c>
      <c r="G56" s="34" t="e">
        <f>'总表-数据收集'!#REF!</f>
        <v>#REF!</v>
      </c>
    </row>
    <row r="57" spans="1:7">
      <c r="A57" s="34"/>
      <c r="B57" s="34" t="s">
        <v>64</v>
      </c>
      <c r="C57" s="34" t="e">
        <f>'总表-数据收集'!#REF!</f>
        <v>#REF!</v>
      </c>
      <c r="D57" s="34" t="e">
        <f>'总表-数据收集'!#REF!</f>
        <v>#REF!</v>
      </c>
      <c r="E57" s="34" t="e">
        <f>'总表-数据收集'!#REF!</f>
        <v>#REF!</v>
      </c>
      <c r="F57" s="34" t="e">
        <f>'总表-数据收集'!#REF!</f>
        <v>#REF!</v>
      </c>
      <c r="G57" s="34" t="e">
        <f>'总表-数据收集'!#REF!</f>
        <v>#REF!</v>
      </c>
    </row>
    <row r="59" spans="1:7">
      <c r="A59" s="49">
        <v>13</v>
      </c>
      <c r="B59" s="49"/>
      <c r="C59" s="50"/>
      <c r="D59" s="50"/>
      <c r="E59" s="50"/>
      <c r="F59" s="50"/>
      <c r="G59" s="50"/>
    </row>
    <row r="60" spans="1:7">
      <c r="A60" s="34" t="str">
        <f>'总表-数据收集'!B13</f>
        <v>江门大众</v>
      </c>
      <c r="B60" s="49"/>
      <c r="C60" s="50"/>
      <c r="D60" s="50"/>
      <c r="E60" s="50"/>
      <c r="F60" s="50"/>
      <c r="G60" s="50"/>
    </row>
    <row r="61" spans="1:7">
      <c r="A61" s="50"/>
      <c r="B61" s="49"/>
      <c r="C61" s="33" t="s">
        <v>94</v>
      </c>
      <c r="D61" s="34" t="s">
        <v>95</v>
      </c>
      <c r="E61" s="34" t="s">
        <v>96</v>
      </c>
      <c r="F61" s="34"/>
      <c r="G61" s="34"/>
    </row>
    <row r="62" spans="1:7">
      <c r="A62" s="50"/>
      <c r="B62" s="49" t="s">
        <v>40</v>
      </c>
      <c r="C62" s="34" t="e">
        <f>'总表-数据收集'!#REF!</f>
        <v>#REF!</v>
      </c>
      <c r="D62" s="34" t="e">
        <f>'总表-数据收集'!#REF!</f>
        <v>#REF!</v>
      </c>
      <c r="E62" s="34" t="e">
        <f>'总表-数据收集'!#REF!</f>
        <v>#REF!</v>
      </c>
      <c r="F62" s="34" t="e">
        <f>'总表-数据收集'!#REF!</f>
        <v>#REF!</v>
      </c>
      <c r="G62" s="34" t="e">
        <f>'总表-数据收集'!#REF!</f>
        <v>#REF!</v>
      </c>
    </row>
    <row r="63" spans="1:7">
      <c r="A63" s="50"/>
      <c r="B63" s="49" t="s">
        <v>63</v>
      </c>
      <c r="C63" s="34" t="e">
        <f>'总表-数据收集'!#REF!</f>
        <v>#REF!</v>
      </c>
      <c r="D63" s="34" t="e">
        <f>'总表-数据收集'!#REF!</f>
        <v>#REF!</v>
      </c>
      <c r="E63" s="34" t="e">
        <f>'总表-数据收集'!#REF!</f>
        <v>#REF!</v>
      </c>
      <c r="F63" s="34" t="e">
        <f>'总表-数据收集'!#REF!</f>
        <v>#REF!</v>
      </c>
      <c r="G63" s="34" t="e">
        <f>'总表-数据收集'!#REF!</f>
        <v>#REF!</v>
      </c>
    </row>
    <row r="64" spans="1:7">
      <c r="A64" s="50"/>
      <c r="B64" s="49" t="s">
        <v>64</v>
      </c>
      <c r="C64" s="34" t="e">
        <f>'总表-数据收集'!#REF!</f>
        <v>#REF!</v>
      </c>
      <c r="D64" s="34" t="e">
        <f>'总表-数据收集'!#REF!</f>
        <v>#REF!</v>
      </c>
      <c r="E64" s="34" t="e">
        <f>'总表-数据收集'!#REF!</f>
        <v>#REF!</v>
      </c>
      <c r="F64" s="34" t="e">
        <f>'总表-数据收集'!#REF!</f>
        <v>#REF!</v>
      </c>
      <c r="G64" s="34" t="e">
        <f>'总表-数据收集'!#REF!</f>
        <v>#REF!</v>
      </c>
    </row>
    <row r="66" spans="1:7">
      <c r="A66" s="34">
        <v>14</v>
      </c>
      <c r="B66" s="34"/>
      <c r="C66" s="34"/>
      <c r="D66" s="34"/>
      <c r="E66" s="34"/>
      <c r="F66" s="34"/>
      <c r="G66" s="34"/>
    </row>
    <row r="67" spans="1:7">
      <c r="A67" s="34" t="str">
        <f>'总表-数据收集'!B14</f>
        <v>河源零跑</v>
      </c>
      <c r="B67" s="34"/>
      <c r="C67" s="34"/>
      <c r="D67" s="34"/>
      <c r="E67" s="34"/>
      <c r="F67" s="34"/>
      <c r="G67" s="34"/>
    </row>
    <row r="68" spans="1:7">
      <c r="A68" s="34"/>
      <c r="B68" s="34"/>
      <c r="C68" s="33" t="s">
        <v>94</v>
      </c>
      <c r="D68" s="34" t="s">
        <v>95</v>
      </c>
      <c r="E68" s="34" t="s">
        <v>96</v>
      </c>
      <c r="F68" s="34"/>
      <c r="G68" s="34"/>
    </row>
    <row r="69" spans="1:7">
      <c r="A69" s="34"/>
      <c r="B69" s="34" t="s">
        <v>40</v>
      </c>
      <c r="C69" s="34" t="e">
        <f>'总表-数据收集'!#REF!</f>
        <v>#REF!</v>
      </c>
      <c r="D69" s="34" t="e">
        <f>'总表-数据收集'!#REF!</f>
        <v>#REF!</v>
      </c>
      <c r="E69" s="34" t="e">
        <f>'总表-数据收集'!#REF!</f>
        <v>#REF!</v>
      </c>
      <c r="F69" s="34" t="e">
        <f>'总表-数据收集'!#REF!</f>
        <v>#REF!</v>
      </c>
      <c r="G69" s="34" t="e">
        <f>'总表-数据收集'!#REF!</f>
        <v>#REF!</v>
      </c>
    </row>
    <row r="70" spans="1:7">
      <c r="A70" s="34"/>
      <c r="B70" s="34" t="s">
        <v>63</v>
      </c>
      <c r="C70" s="34" t="e">
        <f>'总表-数据收集'!#REF!</f>
        <v>#REF!</v>
      </c>
      <c r="D70" s="34" t="e">
        <f>'总表-数据收集'!#REF!</f>
        <v>#REF!</v>
      </c>
      <c r="E70" s="34" t="e">
        <f>'总表-数据收集'!#REF!</f>
        <v>#REF!</v>
      </c>
      <c r="F70" s="34" t="e">
        <f>'总表-数据收集'!#REF!</f>
        <v>#REF!</v>
      </c>
      <c r="G70" s="34" t="e">
        <f>'总表-数据收集'!#REF!</f>
        <v>#REF!</v>
      </c>
    </row>
    <row r="71" spans="1:7">
      <c r="A71" s="34"/>
      <c r="B71" s="34" t="s">
        <v>64</v>
      </c>
      <c r="C71" s="34" t="e">
        <f>'总表-数据收集'!#REF!</f>
        <v>#REF!</v>
      </c>
      <c r="D71" s="34" t="e">
        <f>'总表-数据收集'!#REF!</f>
        <v>#REF!</v>
      </c>
      <c r="E71" s="34" t="e">
        <f>'总表-数据收集'!#REF!</f>
        <v>#REF!</v>
      </c>
      <c r="F71" s="34" t="e">
        <f>'总表-数据收集'!#REF!</f>
        <v>#REF!</v>
      </c>
      <c r="G71" s="34" t="e">
        <f>'总表-数据收集'!#REF!</f>
        <v>#REF!</v>
      </c>
    </row>
    <row r="73" spans="1:7">
      <c r="A73" s="34">
        <v>15</v>
      </c>
      <c r="B73" s="34"/>
      <c r="C73" s="34"/>
      <c r="D73" s="34"/>
      <c r="E73" s="34"/>
      <c r="F73" s="34"/>
      <c r="G73" s="34"/>
    </row>
    <row r="74" spans="1:7">
      <c r="A74" s="34" t="str">
        <f>'总表-数据收集'!B15</f>
        <v>汕头零跑</v>
      </c>
      <c r="B74" s="34"/>
      <c r="C74" s="34"/>
      <c r="D74" s="34"/>
      <c r="E74" s="34"/>
      <c r="F74" s="34"/>
      <c r="G74" s="34"/>
    </row>
    <row r="75" spans="1:7">
      <c r="A75" s="34"/>
      <c r="B75" s="34"/>
      <c r="C75" s="33" t="s">
        <v>94</v>
      </c>
      <c r="D75" s="34" t="s">
        <v>95</v>
      </c>
      <c r="E75" s="34" t="s">
        <v>96</v>
      </c>
      <c r="F75" s="34"/>
      <c r="G75" s="34"/>
    </row>
    <row r="76" spans="1:7">
      <c r="A76" s="34"/>
      <c r="B76" s="34" t="s">
        <v>40</v>
      </c>
      <c r="C76" s="34" t="e">
        <f>'总表-数据收集'!#REF!</f>
        <v>#REF!</v>
      </c>
      <c r="D76" s="34" t="e">
        <f>'总表-数据收集'!#REF!</f>
        <v>#REF!</v>
      </c>
      <c r="E76" s="34" t="e">
        <f>'总表-数据收集'!#REF!</f>
        <v>#REF!</v>
      </c>
      <c r="F76" s="34" t="e">
        <f>'总表-数据收集'!#REF!</f>
        <v>#REF!</v>
      </c>
      <c r="G76" s="34" t="e">
        <f>'总表-数据收集'!#REF!</f>
        <v>#REF!</v>
      </c>
    </row>
    <row r="77" spans="1:7">
      <c r="A77" s="34"/>
      <c r="B77" s="34" t="s">
        <v>63</v>
      </c>
      <c r="C77" s="34" t="e">
        <f>'总表-数据收集'!#REF!</f>
        <v>#REF!</v>
      </c>
      <c r="D77" s="34" t="e">
        <f>'总表-数据收集'!#REF!</f>
        <v>#REF!</v>
      </c>
      <c r="E77" s="34" t="e">
        <f>'总表-数据收集'!#REF!</f>
        <v>#REF!</v>
      </c>
      <c r="F77" s="34" t="e">
        <f>'总表-数据收集'!#REF!</f>
        <v>#REF!</v>
      </c>
      <c r="G77" s="34" t="e">
        <f>'总表-数据收集'!#REF!</f>
        <v>#REF!</v>
      </c>
    </row>
    <row r="78" spans="1:7">
      <c r="A78" s="34"/>
      <c r="B78" s="34" t="s">
        <v>64</v>
      </c>
      <c r="C78" s="34" t="e">
        <f>'总表-数据收集'!#REF!</f>
        <v>#REF!</v>
      </c>
      <c r="D78" s="34" t="e">
        <f>'总表-数据收集'!#REF!</f>
        <v>#REF!</v>
      </c>
      <c r="E78" s="34" t="e">
        <f>'总表-数据收集'!#REF!</f>
        <v>#REF!</v>
      </c>
      <c r="F78" s="34" t="e">
        <f>'总表-数据收集'!#REF!</f>
        <v>#REF!</v>
      </c>
      <c r="G78" s="34" t="e">
        <f>'总表-数据收集'!#REF!</f>
        <v>#REF!</v>
      </c>
    </row>
    <row r="80" spans="1:7">
      <c r="A80" s="34">
        <v>16</v>
      </c>
      <c r="B80" s="34"/>
      <c r="C80" s="34"/>
      <c r="D80" s="34"/>
      <c r="E80" s="34"/>
      <c r="F80" s="34"/>
      <c r="G80" s="34"/>
    </row>
    <row r="81" spans="1:7">
      <c r="A81" s="34" t="str">
        <f>'总表-数据收集'!B16</f>
        <v>清远港鸿</v>
      </c>
      <c r="B81" s="34"/>
      <c r="C81" s="34"/>
      <c r="D81" s="34"/>
      <c r="E81" s="34"/>
      <c r="F81" s="34"/>
      <c r="G81" s="34"/>
    </row>
    <row r="82" spans="1:7">
      <c r="A82" s="34"/>
      <c r="B82" s="34"/>
      <c r="C82" s="33" t="s">
        <v>94</v>
      </c>
      <c r="D82" s="34" t="s">
        <v>95</v>
      </c>
      <c r="E82" s="34" t="s">
        <v>96</v>
      </c>
      <c r="F82" s="34"/>
      <c r="G82" s="34"/>
    </row>
    <row r="83" spans="1:7">
      <c r="A83" s="34"/>
      <c r="B83" s="34" t="s">
        <v>40</v>
      </c>
      <c r="C83" s="34" t="e">
        <f>'总表-数据收集'!#REF!</f>
        <v>#REF!</v>
      </c>
      <c r="D83" s="34" t="e">
        <f>'总表-数据收集'!#REF!</f>
        <v>#REF!</v>
      </c>
      <c r="E83" s="34" t="e">
        <f>'总表-数据收集'!#REF!</f>
        <v>#REF!</v>
      </c>
      <c r="F83" s="34" t="e">
        <f>'总表-数据收集'!#REF!</f>
        <v>#REF!</v>
      </c>
      <c r="G83" s="34" t="e">
        <f>'总表-数据收集'!#REF!</f>
        <v>#REF!</v>
      </c>
    </row>
    <row r="84" spans="1:7">
      <c r="A84" s="34"/>
      <c r="B84" s="34" t="s">
        <v>63</v>
      </c>
      <c r="C84" s="34" t="e">
        <f>'总表-数据收集'!#REF!</f>
        <v>#REF!</v>
      </c>
      <c r="D84" s="34" t="e">
        <f>'总表-数据收集'!#REF!</f>
        <v>#REF!</v>
      </c>
      <c r="E84" s="34" t="e">
        <f>'总表-数据收集'!#REF!</f>
        <v>#REF!</v>
      </c>
      <c r="F84" s="34" t="e">
        <f>'总表-数据收集'!#REF!</f>
        <v>#REF!</v>
      </c>
      <c r="G84" s="34" t="e">
        <f>'总表-数据收集'!#REF!</f>
        <v>#REF!</v>
      </c>
    </row>
    <row r="85" spans="1:7">
      <c r="A85" s="34"/>
      <c r="B85" s="34" t="s">
        <v>64</v>
      </c>
      <c r="C85" s="34" t="e">
        <f>'总表-数据收集'!#REF!</f>
        <v>#REF!</v>
      </c>
      <c r="D85" s="34" t="e">
        <f>'总表-数据收集'!#REF!</f>
        <v>#REF!</v>
      </c>
      <c r="E85" s="34" t="e">
        <f>'总表-数据收集'!#REF!</f>
        <v>#REF!</v>
      </c>
      <c r="F85" s="34" t="e">
        <f>'总表-数据收集'!#REF!</f>
        <v>#REF!</v>
      </c>
      <c r="G85" s="34" t="e">
        <f>'总表-数据收集'!#REF!</f>
        <v>#REF!</v>
      </c>
    </row>
    <row r="87" spans="1:7">
      <c r="A87" s="34">
        <v>17</v>
      </c>
      <c r="B87" s="34"/>
      <c r="C87" s="34"/>
      <c r="D87" s="34"/>
      <c r="E87" s="34"/>
      <c r="F87" s="34"/>
      <c r="G87" s="34"/>
    </row>
    <row r="88" spans="1:7">
      <c r="A88" s="34" t="str">
        <f>'总表-数据收集'!B17</f>
        <v>从化零跑</v>
      </c>
      <c r="B88" s="34"/>
      <c r="C88" s="34"/>
      <c r="D88" s="34"/>
      <c r="E88" s="34"/>
      <c r="F88" s="34"/>
      <c r="G88" s="34"/>
    </row>
    <row r="89" spans="1:7">
      <c r="A89" s="34"/>
      <c r="B89" s="34"/>
      <c r="C89" s="33" t="s">
        <v>94</v>
      </c>
      <c r="D89" s="34" t="s">
        <v>95</v>
      </c>
      <c r="E89" s="34" t="s">
        <v>96</v>
      </c>
      <c r="F89" s="34"/>
      <c r="G89" s="34"/>
    </row>
    <row r="90" spans="1:7">
      <c r="A90" s="34"/>
      <c r="B90" s="34" t="s">
        <v>40</v>
      </c>
      <c r="C90" s="34" t="e">
        <f>'总表-数据收集'!#REF!</f>
        <v>#REF!</v>
      </c>
      <c r="D90" s="34" t="e">
        <f>'总表-数据收集'!#REF!</f>
        <v>#REF!</v>
      </c>
      <c r="E90" s="34" t="e">
        <f>'总表-数据收集'!#REF!</f>
        <v>#REF!</v>
      </c>
      <c r="F90" s="34" t="e">
        <f>'总表-数据收集'!#REF!</f>
        <v>#REF!</v>
      </c>
      <c r="G90" s="34" t="e">
        <f>'总表-数据收集'!#REF!</f>
        <v>#REF!</v>
      </c>
    </row>
    <row r="91" spans="1:7">
      <c r="A91" s="34"/>
      <c r="B91" s="34" t="s">
        <v>63</v>
      </c>
      <c r="C91" s="34" t="e">
        <f>'总表-数据收集'!#REF!</f>
        <v>#REF!</v>
      </c>
      <c r="D91" s="34" t="e">
        <f>'总表-数据收集'!#REF!</f>
        <v>#REF!</v>
      </c>
      <c r="E91" s="34" t="e">
        <f>'总表-数据收集'!#REF!</f>
        <v>#REF!</v>
      </c>
      <c r="F91" s="34" t="e">
        <f>'总表-数据收集'!#REF!</f>
        <v>#REF!</v>
      </c>
      <c r="G91" s="34" t="e">
        <f>'总表-数据收集'!#REF!</f>
        <v>#REF!</v>
      </c>
    </row>
    <row r="92" spans="1:7">
      <c r="A92" s="34"/>
      <c r="B92" s="34" t="s">
        <v>64</v>
      </c>
      <c r="C92" s="34" t="e">
        <f>'总表-数据收集'!#REF!</f>
        <v>#REF!</v>
      </c>
      <c r="D92" s="34" t="e">
        <f>'总表-数据收集'!#REF!</f>
        <v>#REF!</v>
      </c>
      <c r="E92" s="34" t="e">
        <f>'总表-数据收集'!#REF!</f>
        <v>#REF!</v>
      </c>
      <c r="F92" s="34" t="e">
        <f>'总表-数据收集'!#REF!</f>
        <v>#REF!</v>
      </c>
      <c r="G92" s="34" t="e">
        <f>'总表-数据收集'!#REF!</f>
        <v>#REF!</v>
      </c>
    </row>
    <row r="94" spans="1:7">
      <c r="A94" s="34">
        <v>18</v>
      </c>
      <c r="B94" s="34"/>
      <c r="C94" s="34"/>
      <c r="D94" s="34"/>
      <c r="E94" s="34"/>
      <c r="F94" s="34"/>
      <c r="G94" s="34"/>
    </row>
    <row r="95" spans="1:7">
      <c r="A95" s="34" t="str">
        <f>'总表-数据收集'!B18</f>
        <v>清远奇晟</v>
      </c>
      <c r="B95" s="34"/>
      <c r="C95" s="34"/>
      <c r="D95" s="34"/>
      <c r="E95" s="34"/>
      <c r="F95" s="34"/>
      <c r="G95" s="34"/>
    </row>
    <row r="96" spans="1:7">
      <c r="A96" s="34"/>
      <c r="B96" s="34"/>
      <c r="C96" s="33" t="s">
        <v>94</v>
      </c>
      <c r="D96" s="34" t="s">
        <v>95</v>
      </c>
      <c r="E96" s="34" t="s">
        <v>96</v>
      </c>
      <c r="F96" s="34"/>
      <c r="G96" s="34"/>
    </row>
    <row r="97" spans="1:7">
      <c r="A97" s="34"/>
      <c r="B97" s="34" t="s">
        <v>40</v>
      </c>
      <c r="C97" s="34" t="e">
        <f>'总表-数据收集'!#REF!</f>
        <v>#REF!</v>
      </c>
      <c r="D97" s="34" t="e">
        <f>'总表-数据收集'!#REF!</f>
        <v>#REF!</v>
      </c>
      <c r="E97" s="34" t="e">
        <f>'总表-数据收集'!#REF!</f>
        <v>#REF!</v>
      </c>
      <c r="F97" s="34" t="e">
        <f>'总表-数据收集'!#REF!</f>
        <v>#REF!</v>
      </c>
      <c r="G97" s="34" t="e">
        <f>'总表-数据收集'!#REF!</f>
        <v>#REF!</v>
      </c>
    </row>
    <row r="98" spans="1:7">
      <c r="A98" s="34"/>
      <c r="B98" s="34" t="s">
        <v>63</v>
      </c>
      <c r="C98" s="34" t="e">
        <f>'总表-数据收集'!#REF!</f>
        <v>#REF!</v>
      </c>
      <c r="D98" s="34" t="e">
        <f>'总表-数据收集'!#REF!</f>
        <v>#REF!</v>
      </c>
      <c r="E98" s="34" t="e">
        <f>'总表-数据收集'!#REF!</f>
        <v>#REF!</v>
      </c>
      <c r="F98" s="34" t="e">
        <f>'总表-数据收集'!#REF!</f>
        <v>#REF!</v>
      </c>
      <c r="G98" s="34" t="e">
        <f>'总表-数据收集'!#REF!</f>
        <v>#REF!</v>
      </c>
    </row>
    <row r="99" spans="1:7">
      <c r="A99" s="34"/>
      <c r="B99" s="34" t="s">
        <v>64</v>
      </c>
      <c r="C99" s="34" t="e">
        <f>'总表-数据收集'!#REF!</f>
        <v>#REF!</v>
      </c>
      <c r="D99" s="34" t="e">
        <f>'总表-数据收集'!#REF!</f>
        <v>#REF!</v>
      </c>
      <c r="E99" s="34" t="e">
        <f>'总表-数据收集'!#REF!</f>
        <v>#REF!</v>
      </c>
      <c r="F99" s="34" t="e">
        <f>'总表-数据收集'!#REF!</f>
        <v>#REF!</v>
      </c>
      <c r="G99" s="34" t="e">
        <f>'总表-数据收集'!#REF!</f>
        <v>#REF!</v>
      </c>
    </row>
    <row r="101" spans="1:7">
      <c r="A101" s="34">
        <v>19</v>
      </c>
      <c r="B101" s="34"/>
      <c r="C101" s="34"/>
      <c r="D101" s="34"/>
      <c r="E101" s="34"/>
      <c r="F101" s="34"/>
      <c r="G101" s="34"/>
    </row>
    <row r="102" spans="1:7">
      <c r="A102" s="34" t="str">
        <f>'总表-数据收集'!B19</f>
        <v>清远英德</v>
      </c>
      <c r="B102" s="34"/>
      <c r="C102" s="34"/>
      <c r="D102" s="34"/>
      <c r="E102" s="34"/>
      <c r="F102" s="34"/>
      <c r="G102" s="34"/>
    </row>
    <row r="103" spans="1:7">
      <c r="A103" s="34"/>
      <c r="B103" s="34"/>
      <c r="C103" s="33" t="s">
        <v>94</v>
      </c>
      <c r="D103" s="34" t="s">
        <v>95</v>
      </c>
      <c r="E103" s="34" t="s">
        <v>96</v>
      </c>
      <c r="F103" s="34"/>
      <c r="G103" s="34"/>
    </row>
    <row r="104" spans="1:7">
      <c r="A104" s="34"/>
      <c r="B104" s="34" t="s">
        <v>40</v>
      </c>
      <c r="C104" s="34" t="e">
        <f>'总表-数据收集'!#REF!</f>
        <v>#REF!</v>
      </c>
      <c r="D104" s="34" t="e">
        <f>'总表-数据收集'!#REF!</f>
        <v>#REF!</v>
      </c>
      <c r="E104" s="34" t="e">
        <f>'总表-数据收集'!#REF!</f>
        <v>#REF!</v>
      </c>
      <c r="F104" s="34" t="e">
        <f>'总表-数据收集'!#REF!</f>
        <v>#REF!</v>
      </c>
      <c r="G104" s="34" t="e">
        <f>'总表-数据收集'!#REF!</f>
        <v>#REF!</v>
      </c>
    </row>
    <row r="105" spans="1:7">
      <c r="A105" s="34"/>
      <c r="B105" s="34" t="s">
        <v>63</v>
      </c>
      <c r="C105" s="34" t="e">
        <f>'总表-数据收集'!#REF!</f>
        <v>#REF!</v>
      </c>
      <c r="D105" s="34" t="e">
        <f>'总表-数据收集'!#REF!</f>
        <v>#REF!</v>
      </c>
      <c r="E105" s="34" t="e">
        <f>'总表-数据收集'!#REF!</f>
        <v>#REF!</v>
      </c>
      <c r="F105" s="34" t="e">
        <f>'总表-数据收集'!#REF!</f>
        <v>#REF!</v>
      </c>
      <c r="G105" s="34" t="e">
        <f>'总表-数据收集'!#REF!</f>
        <v>#REF!</v>
      </c>
    </row>
    <row r="106" spans="1:7">
      <c r="A106" s="34"/>
      <c r="B106" s="34" t="s">
        <v>64</v>
      </c>
      <c r="C106" s="34" t="e">
        <f>'总表-数据收集'!#REF!</f>
        <v>#REF!</v>
      </c>
      <c r="D106" s="34" t="e">
        <f>'总表-数据收集'!#REF!</f>
        <v>#REF!</v>
      </c>
      <c r="E106" s="34" t="e">
        <f>'总表-数据收集'!#REF!</f>
        <v>#REF!</v>
      </c>
      <c r="F106" s="34" t="e">
        <f>'总表-数据收集'!#REF!</f>
        <v>#REF!</v>
      </c>
      <c r="G106" s="34" t="e">
        <f>'总表-数据收集'!#REF!</f>
        <v>#REF!</v>
      </c>
    </row>
    <row r="108" spans="1:7">
      <c r="A108" s="34">
        <v>20</v>
      </c>
      <c r="B108" s="34"/>
      <c r="C108" s="34"/>
      <c r="D108" s="34"/>
      <c r="E108" s="34"/>
      <c r="F108" s="34"/>
      <c r="G108" s="34"/>
    </row>
    <row r="109" spans="1:7">
      <c r="A109" s="34" t="str">
        <f>'总表-数据收集'!B20</f>
        <v>广花零跑</v>
      </c>
      <c r="B109" s="34"/>
      <c r="C109" s="34"/>
      <c r="D109" s="34"/>
      <c r="E109" s="34"/>
      <c r="F109" s="34"/>
      <c r="G109" s="34"/>
    </row>
    <row r="110" spans="1:7">
      <c r="A110" s="34"/>
      <c r="B110" s="34"/>
      <c r="C110" s="33" t="s">
        <v>94</v>
      </c>
      <c r="D110" s="34" t="s">
        <v>95</v>
      </c>
      <c r="E110" s="34" t="s">
        <v>96</v>
      </c>
      <c r="F110" s="34"/>
      <c r="G110" s="34"/>
    </row>
    <row r="111" spans="1:7">
      <c r="A111" s="34"/>
      <c r="B111" s="34" t="s">
        <v>40</v>
      </c>
      <c r="C111" s="34" t="e">
        <f>'总表-数据收集'!#REF!</f>
        <v>#REF!</v>
      </c>
      <c r="D111" s="34" t="e">
        <f>'总表-数据收集'!#REF!</f>
        <v>#REF!</v>
      </c>
      <c r="E111" s="34" t="e">
        <f>'总表-数据收集'!#REF!</f>
        <v>#REF!</v>
      </c>
      <c r="F111" s="34" t="e">
        <f>'总表-数据收集'!#REF!</f>
        <v>#REF!</v>
      </c>
      <c r="G111" s="34" t="e">
        <f>'总表-数据收集'!#REF!</f>
        <v>#REF!</v>
      </c>
    </row>
    <row r="112" spans="1:7">
      <c r="A112" s="34"/>
      <c r="B112" s="34" t="s">
        <v>63</v>
      </c>
      <c r="C112" s="34" t="e">
        <f>'总表-数据收集'!#REF!</f>
        <v>#REF!</v>
      </c>
      <c r="D112" s="34" t="e">
        <f>'总表-数据收集'!#REF!</f>
        <v>#REF!</v>
      </c>
      <c r="E112" s="34" t="e">
        <f>'总表-数据收集'!#REF!</f>
        <v>#REF!</v>
      </c>
      <c r="F112" s="34" t="e">
        <f>'总表-数据收集'!#REF!</f>
        <v>#REF!</v>
      </c>
      <c r="G112" s="34" t="e">
        <f>'总表-数据收集'!#REF!</f>
        <v>#REF!</v>
      </c>
    </row>
    <row r="113" spans="1:7">
      <c r="A113" s="34"/>
      <c r="B113" s="34" t="s">
        <v>64</v>
      </c>
      <c r="C113" s="34" t="e">
        <f>'总表-数据收集'!#REF!</f>
        <v>#REF!</v>
      </c>
      <c r="D113" s="34" t="e">
        <f>'总表-数据收集'!#REF!</f>
        <v>#REF!</v>
      </c>
      <c r="E113" s="34" t="e">
        <f>'总表-数据收集'!#REF!</f>
        <v>#REF!</v>
      </c>
      <c r="F113" s="34" t="e">
        <f>'总表-数据收集'!#REF!</f>
        <v>#REF!</v>
      </c>
      <c r="G113" s="34" t="e">
        <f>'总表-数据收集'!#REF!</f>
        <v>#REF!</v>
      </c>
    </row>
    <row r="115" spans="1:7">
      <c r="A115" s="34">
        <v>21</v>
      </c>
      <c r="B115" s="34"/>
      <c r="C115" s="34"/>
      <c r="D115" s="34"/>
      <c r="E115" s="34"/>
      <c r="F115" s="34"/>
      <c r="G115" s="34"/>
    </row>
    <row r="116" spans="1:7">
      <c r="A116" s="34" t="str">
        <f>'总表-数据收集'!B21</f>
        <v>花都北站零跑</v>
      </c>
      <c r="B116" s="34"/>
      <c r="C116" s="34"/>
      <c r="D116" s="34"/>
      <c r="E116" s="34"/>
      <c r="F116" s="34"/>
      <c r="G116" s="34"/>
    </row>
    <row r="117" spans="1:7">
      <c r="A117" s="34"/>
      <c r="B117" s="34"/>
      <c r="C117" s="33" t="s">
        <v>94</v>
      </c>
      <c r="D117" s="34" t="s">
        <v>95</v>
      </c>
      <c r="E117" s="34" t="s">
        <v>96</v>
      </c>
      <c r="F117" s="34"/>
      <c r="G117" s="34"/>
    </row>
    <row r="118" spans="1:7">
      <c r="A118" s="34"/>
      <c r="B118" s="34" t="s">
        <v>40</v>
      </c>
      <c r="C118" s="34" t="e">
        <f>'总表-数据收集'!#REF!</f>
        <v>#REF!</v>
      </c>
      <c r="D118" s="34" t="e">
        <f>'总表-数据收集'!#REF!</f>
        <v>#REF!</v>
      </c>
      <c r="E118" s="34" t="e">
        <f>'总表-数据收集'!#REF!</f>
        <v>#REF!</v>
      </c>
      <c r="F118" s="34" t="e">
        <f>'总表-数据收集'!#REF!</f>
        <v>#REF!</v>
      </c>
      <c r="G118" s="34" t="e">
        <f>'总表-数据收集'!#REF!</f>
        <v>#REF!</v>
      </c>
    </row>
    <row r="119" spans="1:7">
      <c r="A119" s="34"/>
      <c r="B119" s="34" t="s">
        <v>63</v>
      </c>
      <c r="C119" s="34" t="e">
        <f>'总表-数据收集'!#REF!</f>
        <v>#REF!</v>
      </c>
      <c r="D119" s="34" t="e">
        <f>'总表-数据收集'!#REF!</f>
        <v>#REF!</v>
      </c>
      <c r="E119" s="34" t="e">
        <f>'总表-数据收集'!#REF!</f>
        <v>#REF!</v>
      </c>
      <c r="F119" s="34" t="e">
        <f>'总表-数据收集'!#REF!</f>
        <v>#REF!</v>
      </c>
      <c r="G119" s="34" t="e">
        <f>'总表-数据收集'!#REF!</f>
        <v>#REF!</v>
      </c>
    </row>
    <row r="120" spans="1:7">
      <c r="A120" s="34"/>
      <c r="B120" s="34" t="s">
        <v>64</v>
      </c>
      <c r="C120" s="34" t="e">
        <f>'总表-数据收集'!#REF!</f>
        <v>#REF!</v>
      </c>
      <c r="D120" s="34" t="e">
        <f>'总表-数据收集'!#REF!</f>
        <v>#REF!</v>
      </c>
      <c r="E120" s="34" t="e">
        <f>'总表-数据收集'!#REF!</f>
        <v>#REF!</v>
      </c>
      <c r="F120" s="34" t="e">
        <f>'总表-数据收集'!#REF!</f>
        <v>#REF!</v>
      </c>
      <c r="G120" s="34" t="e">
        <f>'总表-数据收集'!#REF!</f>
        <v>#REF!</v>
      </c>
    </row>
    <row r="122" spans="1:7">
      <c r="A122" s="34">
        <v>22</v>
      </c>
      <c r="B122" s="34"/>
      <c r="C122" s="34"/>
      <c r="D122" s="34"/>
      <c r="E122" s="34"/>
      <c r="F122" s="34"/>
      <c r="G122" s="34"/>
    </row>
    <row r="123" spans="1:7">
      <c r="A123" s="34" t="str">
        <f>'总表-数据收集'!B22</f>
        <v>清远智己</v>
      </c>
      <c r="B123" s="34"/>
      <c r="C123" s="34"/>
      <c r="D123" s="34"/>
      <c r="E123" s="34"/>
      <c r="F123" s="34"/>
      <c r="G123" s="34"/>
    </row>
    <row r="124" spans="1:7">
      <c r="A124" s="34"/>
      <c r="B124" s="34"/>
      <c r="C124" s="33" t="s">
        <v>94</v>
      </c>
      <c r="D124" s="34" t="s">
        <v>95</v>
      </c>
      <c r="E124" s="34" t="s">
        <v>96</v>
      </c>
      <c r="F124" s="34"/>
      <c r="G124" s="34"/>
    </row>
    <row r="125" spans="1:7">
      <c r="A125" s="34"/>
      <c r="B125" s="34" t="s">
        <v>40</v>
      </c>
      <c r="C125" s="34" t="e">
        <f>'总表-数据收集'!#REF!</f>
        <v>#REF!</v>
      </c>
      <c r="D125" s="34" t="e">
        <f>'总表-数据收集'!#REF!</f>
        <v>#REF!</v>
      </c>
      <c r="E125" s="34" t="e">
        <f>'总表-数据收集'!#REF!</f>
        <v>#REF!</v>
      </c>
      <c r="F125" s="34" t="e">
        <f>'总表-数据收集'!#REF!</f>
        <v>#REF!</v>
      </c>
      <c r="G125" s="34" t="e">
        <f>'总表-数据收集'!#REF!</f>
        <v>#REF!</v>
      </c>
    </row>
    <row r="126" spans="1:7">
      <c r="A126" s="34"/>
      <c r="B126" s="34" t="s">
        <v>63</v>
      </c>
      <c r="C126" s="34" t="e">
        <f>'总表-数据收集'!#REF!</f>
        <v>#REF!</v>
      </c>
      <c r="D126" s="34" t="e">
        <f>'总表-数据收集'!#REF!</f>
        <v>#REF!</v>
      </c>
      <c r="E126" s="34" t="e">
        <f>'总表-数据收集'!#REF!</f>
        <v>#REF!</v>
      </c>
      <c r="F126" s="34" t="e">
        <f>'总表-数据收集'!#REF!</f>
        <v>#REF!</v>
      </c>
      <c r="G126" s="34" t="e">
        <f>'总表-数据收集'!#REF!</f>
        <v>#REF!</v>
      </c>
    </row>
    <row r="127" spans="1:7">
      <c r="A127" s="34"/>
      <c r="B127" s="34" t="s">
        <v>64</v>
      </c>
      <c r="C127" s="34" t="e">
        <f>'总表-数据收集'!#REF!</f>
        <v>#REF!</v>
      </c>
      <c r="D127" s="34" t="e">
        <f>'总表-数据收集'!#REF!</f>
        <v>#REF!</v>
      </c>
      <c r="E127" s="34" t="e">
        <f>'总表-数据收集'!#REF!</f>
        <v>#REF!</v>
      </c>
      <c r="F127" s="34" t="e">
        <f>'总表-数据收集'!#REF!</f>
        <v>#REF!</v>
      </c>
      <c r="G127" s="34" t="e">
        <f>'总表-数据收集'!#REF!</f>
        <v>#REF!</v>
      </c>
    </row>
  </sheetData>
  <phoneticPr fontId="27" type="noConversion"/>
  <pageMargins left="0.7" right="0.7" top="0.75" bottom="0.75" header="0.3" footer="0.3"/>
  <pageSetup paperSize="9" orientation="portrait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first="1" last="1" xr2:uid="{00000000-0003-0000-0400-000074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G125</xm:sqref>
            </x14:sparkline>
          </x14:sparklines>
        </x14:sparklineGroup>
        <x14:sparklineGroup displayEmptyCellsAs="gap" first="1" last="1" xr2:uid="{00000000-0003-0000-0400-000073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G118</xm:sqref>
            </x14:sparkline>
          </x14:sparklines>
        </x14:sparklineGroup>
        <x14:sparklineGroup displayEmptyCellsAs="gap" first="1" last="1" xr2:uid="{00000000-0003-0000-0400-000072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G111</xm:sqref>
            </x14:sparkline>
          </x14:sparklines>
        </x14:sparklineGroup>
        <x14:sparklineGroup displayEmptyCellsAs="gap" first="1" last="1" xr2:uid="{00000000-0003-0000-0400-000071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G104</xm:sqref>
            </x14:sparkline>
          </x14:sparklines>
        </x14:sparklineGroup>
        <x14:sparklineGroup displayEmptyCellsAs="gap" first="1" last="1" xr2:uid="{00000000-0003-0000-0400-000070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G97</xm:sqref>
            </x14:sparkline>
          </x14:sparklines>
        </x14:sparklineGroup>
        <x14:sparklineGroup displayEmptyCellsAs="gap" first="1" last="1" xr2:uid="{00000000-0003-0000-0400-00006F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G90</xm:sqref>
            </x14:sparkline>
          </x14:sparklines>
        </x14:sparklineGroup>
        <x14:sparklineGroup displayEmptyCellsAs="gap" first="1" last="1" xr2:uid="{00000000-0003-0000-0400-00006E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G83</xm:sqref>
            </x14:sparkline>
          </x14:sparklines>
        </x14:sparklineGroup>
        <x14:sparklineGroup displayEmptyCellsAs="gap" first="1" last="1" xr2:uid="{00000000-0003-0000-0400-00006D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G76</xm:sqref>
            </x14:sparkline>
          </x14:sparklines>
        </x14:sparklineGroup>
        <x14:sparklineGroup displayEmptyCellsAs="gap" first="1" last="1" xr2:uid="{00000000-0003-0000-0400-00006C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G69</xm:sqref>
            </x14:sparkline>
          </x14:sparklines>
        </x14:sparklineGroup>
        <x14:sparklineGroup displayEmptyCellsAs="gap" first="1" last="1" xr2:uid="{00000000-0003-0000-0400-00006B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G62</xm:sqref>
            </x14:sparkline>
          </x14:sparklines>
        </x14:sparklineGroup>
        <x14:sparklineGroup displayEmptyCellsAs="gap" first="1" last="1" xr2:uid="{00000000-0003-0000-0400-00006A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G55</xm:sqref>
            </x14:sparkline>
          </x14:sparklines>
        </x14:sparklineGroup>
        <x14:sparklineGroup displayEmptyCellsAs="gap" first="1" last="1" xr2:uid="{00000000-0003-0000-0400-000069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G48</xm:sqref>
            </x14:sparkline>
          </x14:sparklines>
        </x14:sparklineGroup>
        <x14:sparklineGroup displayEmptyCellsAs="gap" first="1" last="1" xr2:uid="{00000000-0003-0000-0400-000068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G41</xm:sqref>
            </x14:sparkline>
          </x14:sparklines>
        </x14:sparklineGroup>
        <x14:sparklineGroup displayEmptyCellsAs="gap" first="1" last="1" xr2:uid="{00000000-0003-0000-0400-000067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G34</xm:sqref>
            </x14:sparkline>
          </x14:sparklines>
        </x14:sparklineGroup>
        <x14:sparklineGroup displayEmptyCellsAs="gap" first="1" last="1" xr2:uid="{00000000-0003-0000-0400-000066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G27</xm:sqref>
            </x14:sparkline>
          </x14:sparklines>
        </x14:sparklineGroup>
        <x14:sparklineGroup displayEmptyCellsAs="gap" first="1" last="1" xr2:uid="{00000000-0003-0000-0400-000065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G20</xm:sqref>
            </x14:sparkline>
          </x14:sparklines>
        </x14:sparklineGroup>
        <x14:sparklineGroup displayEmptyCellsAs="gap" first="1" last="1" xr2:uid="{00000000-0003-0000-0400-000064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</xm:sqref>
            </x14:sparkline>
          </x14:sparklines>
        </x14:sparklineGroup>
        <x14:sparklineGroup displayEmptyCellsAs="gap" first="1" last="1" xr2:uid="{00000000-0003-0000-0400-000063000000}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66"/>
  <sheetViews>
    <sheetView zoomScale="60" zoomScaleNormal="60" workbookViewId="0">
      <selection activeCell="H49" sqref="H49:H66"/>
    </sheetView>
  </sheetViews>
  <sheetFormatPr defaultColWidth="11" defaultRowHeight="13.9"/>
  <cols>
    <col min="3" max="3" width="21.6640625" customWidth="1"/>
  </cols>
  <sheetData>
    <row r="2" spans="2:8">
      <c r="C2" t="s">
        <v>40</v>
      </c>
    </row>
    <row r="3" spans="2:8">
      <c r="D3" s="33" t="s">
        <v>44</v>
      </c>
      <c r="E3" s="34" t="s">
        <v>45</v>
      </c>
      <c r="F3" s="34" t="s">
        <v>46</v>
      </c>
      <c r="G3" s="34" t="s">
        <v>97</v>
      </c>
      <c r="H3" s="34" t="s">
        <v>98</v>
      </c>
    </row>
    <row r="4" spans="2:8" ht="18.399999999999999">
      <c r="B4">
        <v>5</v>
      </c>
      <c r="C4" s="35" t="s">
        <v>20</v>
      </c>
      <c r="D4" t="e">
        <f>'总表-数据收集'!#REF!</f>
        <v>#REF!</v>
      </c>
      <c r="E4" t="e">
        <f>'总表-数据收集'!#REF!</f>
        <v>#REF!</v>
      </c>
      <c r="F4" t="e">
        <f>'总表-数据收集'!#REF!</f>
        <v>#REF!</v>
      </c>
      <c r="G4" t="e">
        <f>'总表-数据收集'!#REF!</f>
        <v>#REF!</v>
      </c>
      <c r="H4" t="e">
        <f>'总表-数据收集'!#REF!</f>
        <v>#REF!</v>
      </c>
    </row>
    <row r="5" spans="2:8" ht="18.399999999999999" hidden="1">
      <c r="B5">
        <v>6</v>
      </c>
      <c r="C5" s="36"/>
      <c r="D5" t="e">
        <f>'总表-数据收集'!#REF!</f>
        <v>#REF!</v>
      </c>
      <c r="E5" t="e">
        <f>'总表-数据收集'!#REF!</f>
        <v>#REF!</v>
      </c>
      <c r="F5" t="e">
        <f>'总表-数据收集'!#REF!</f>
        <v>#REF!</v>
      </c>
      <c r="G5" t="e">
        <f>'总表-数据收集'!#REF!</f>
        <v>#REF!</v>
      </c>
      <c r="H5" t="e">
        <f>'总表-数据收集'!#REF!</f>
        <v>#REF!</v>
      </c>
    </row>
    <row r="6" spans="2:8" ht="18.399999999999999">
      <c r="B6">
        <v>6</v>
      </c>
      <c r="C6" s="37" t="s">
        <v>21</v>
      </c>
      <c r="D6" t="e">
        <f>'总表-数据收集'!#REF!</f>
        <v>#REF!</v>
      </c>
      <c r="E6" t="e">
        <f>'总表-数据收集'!#REF!</f>
        <v>#REF!</v>
      </c>
      <c r="F6" t="e">
        <f>'总表-数据收集'!#REF!</f>
        <v>#REF!</v>
      </c>
      <c r="G6" t="e">
        <f>'总表-数据收集'!#REF!</f>
        <v>#REF!</v>
      </c>
      <c r="H6" t="e">
        <f>'总表-数据收集'!#REF!</f>
        <v>#REF!</v>
      </c>
    </row>
    <row r="7" spans="2:8" ht="18.399999999999999">
      <c r="B7">
        <v>7</v>
      </c>
      <c r="C7" s="36" t="s">
        <v>22</v>
      </c>
      <c r="D7" t="e">
        <f>'总表-数据收集'!#REF!</f>
        <v>#REF!</v>
      </c>
      <c r="E7" t="e">
        <f>'总表-数据收集'!#REF!</f>
        <v>#REF!</v>
      </c>
      <c r="F7" t="e">
        <f>'总表-数据收集'!#REF!</f>
        <v>#REF!</v>
      </c>
      <c r="G7" t="e">
        <f>'总表-数据收集'!#REF!</f>
        <v>#REF!</v>
      </c>
      <c r="H7" t="e">
        <f>'总表-数据收集'!#REF!</f>
        <v>#REF!</v>
      </c>
    </row>
    <row r="8" spans="2:8" ht="18.399999999999999">
      <c r="B8">
        <v>8</v>
      </c>
      <c r="C8" s="38" t="s">
        <v>23</v>
      </c>
      <c r="D8" t="e">
        <f>'总表-数据收集'!#REF!</f>
        <v>#REF!</v>
      </c>
      <c r="E8" t="e">
        <f>'总表-数据收集'!#REF!</f>
        <v>#REF!</v>
      </c>
      <c r="F8" t="e">
        <f>'总表-数据收集'!#REF!</f>
        <v>#REF!</v>
      </c>
      <c r="G8" t="e">
        <f>'总表-数据收集'!#REF!</f>
        <v>#REF!</v>
      </c>
      <c r="H8" t="e">
        <f>'总表-数据收集'!#REF!</f>
        <v>#REF!</v>
      </c>
    </row>
    <row r="9" spans="2:8" ht="18.399999999999999">
      <c r="B9">
        <v>9</v>
      </c>
      <c r="C9" s="39" t="s">
        <v>24</v>
      </c>
      <c r="D9" t="e">
        <f>'总表-数据收集'!#REF!</f>
        <v>#REF!</v>
      </c>
      <c r="E9" t="e">
        <f>'总表-数据收集'!#REF!</f>
        <v>#REF!</v>
      </c>
      <c r="F9" t="e">
        <f>'总表-数据收集'!#REF!</f>
        <v>#REF!</v>
      </c>
      <c r="G9" t="e">
        <f>'总表-数据收集'!#REF!</f>
        <v>#REF!</v>
      </c>
      <c r="H9" t="e">
        <f>'总表-数据收集'!#REF!</f>
        <v>#REF!</v>
      </c>
    </row>
    <row r="10" spans="2:8" ht="18.399999999999999">
      <c r="B10">
        <v>10</v>
      </c>
      <c r="C10" s="38" t="s">
        <v>25</v>
      </c>
      <c r="D10" t="e">
        <f>'总表-数据收集'!#REF!</f>
        <v>#REF!</v>
      </c>
      <c r="E10" t="e">
        <f>'总表-数据收集'!#REF!</f>
        <v>#REF!</v>
      </c>
      <c r="F10" t="e">
        <f>'总表-数据收集'!#REF!</f>
        <v>#REF!</v>
      </c>
      <c r="G10" t="e">
        <f>'总表-数据收集'!#REF!</f>
        <v>#REF!</v>
      </c>
      <c r="H10" t="e">
        <f>'总表-数据收集'!#REF!</f>
        <v>#REF!</v>
      </c>
    </row>
    <row r="11" spans="2:8" ht="18.399999999999999">
      <c r="B11">
        <v>11</v>
      </c>
      <c r="C11" s="40" t="s">
        <v>26</v>
      </c>
      <c r="D11" t="e">
        <f>'总表-数据收集'!#REF!</f>
        <v>#REF!</v>
      </c>
      <c r="E11" t="e">
        <f>'总表-数据收集'!#REF!</f>
        <v>#REF!</v>
      </c>
      <c r="F11" t="e">
        <f>'总表-数据收集'!#REF!</f>
        <v>#REF!</v>
      </c>
      <c r="G11" t="e">
        <f>'总表-数据收集'!#REF!</f>
        <v>#REF!</v>
      </c>
      <c r="H11" t="e">
        <f>'总表-数据收集'!#REF!</f>
        <v>#REF!</v>
      </c>
    </row>
    <row r="12" spans="2:8" ht="18.399999999999999">
      <c r="B12">
        <v>12</v>
      </c>
      <c r="C12" s="38" t="s">
        <v>27</v>
      </c>
      <c r="D12" t="e">
        <f>'总表-数据收集'!#REF!</f>
        <v>#REF!</v>
      </c>
      <c r="E12" t="e">
        <f>'总表-数据收集'!#REF!</f>
        <v>#REF!</v>
      </c>
      <c r="F12" t="e">
        <f>'总表-数据收集'!#REF!</f>
        <v>#REF!</v>
      </c>
      <c r="G12" t="e">
        <f>'总表-数据收集'!#REF!</f>
        <v>#REF!</v>
      </c>
      <c r="H12" t="e">
        <f>'总表-数据收集'!#REF!</f>
        <v>#REF!</v>
      </c>
    </row>
    <row r="13" spans="2:8" ht="18.399999999999999">
      <c r="B13">
        <v>13</v>
      </c>
      <c r="C13" s="41" t="s">
        <v>28</v>
      </c>
      <c r="D13" t="e">
        <f>'总表-数据收集'!#REF!</f>
        <v>#REF!</v>
      </c>
      <c r="E13" t="e">
        <f>'总表-数据收集'!#REF!</f>
        <v>#REF!</v>
      </c>
      <c r="F13" t="e">
        <f>'总表-数据收集'!#REF!</f>
        <v>#REF!</v>
      </c>
      <c r="G13" t="e">
        <f>'总表-数据收集'!#REF!</f>
        <v>#REF!</v>
      </c>
      <c r="H13" t="e">
        <f>'总表-数据收集'!#REF!</f>
        <v>#REF!</v>
      </c>
    </row>
    <row r="14" spans="2:8" ht="18.399999999999999">
      <c r="B14">
        <v>14</v>
      </c>
      <c r="C14" s="38" t="s">
        <v>29</v>
      </c>
      <c r="D14" t="e">
        <f>'总表-数据收集'!#REF!</f>
        <v>#REF!</v>
      </c>
      <c r="E14" t="e">
        <f>'总表-数据收集'!#REF!</f>
        <v>#REF!</v>
      </c>
      <c r="F14" t="e">
        <f>'总表-数据收集'!#REF!</f>
        <v>#REF!</v>
      </c>
      <c r="G14" t="e">
        <f>'总表-数据收集'!#REF!</f>
        <v>#REF!</v>
      </c>
      <c r="H14" t="e">
        <f>'总表-数据收集'!#REF!</f>
        <v>#REF!</v>
      </c>
    </row>
    <row r="15" spans="2:8" ht="18.399999999999999">
      <c r="B15">
        <v>15</v>
      </c>
      <c r="C15" s="41" t="s">
        <v>30</v>
      </c>
      <c r="D15" t="e">
        <f>'总表-数据收集'!#REF!</f>
        <v>#REF!</v>
      </c>
      <c r="E15" t="e">
        <f>'总表-数据收集'!#REF!</f>
        <v>#REF!</v>
      </c>
      <c r="F15" t="e">
        <f>'总表-数据收集'!#REF!</f>
        <v>#REF!</v>
      </c>
      <c r="G15" t="e">
        <f>'总表-数据收集'!#REF!</f>
        <v>#REF!</v>
      </c>
      <c r="H15" t="e">
        <f>'总表-数据收集'!#REF!</f>
        <v>#REF!</v>
      </c>
    </row>
    <row r="16" spans="2:8" ht="18.399999999999999">
      <c r="B16">
        <v>16</v>
      </c>
      <c r="C16" s="38" t="s">
        <v>31</v>
      </c>
      <c r="D16" t="e">
        <f>'总表-数据收集'!#REF!</f>
        <v>#REF!</v>
      </c>
      <c r="E16" t="e">
        <f>'总表-数据收集'!#REF!</f>
        <v>#REF!</v>
      </c>
      <c r="F16" t="e">
        <f>'总表-数据收集'!#REF!</f>
        <v>#REF!</v>
      </c>
      <c r="G16" t="e">
        <f>'总表-数据收集'!#REF!</f>
        <v>#REF!</v>
      </c>
      <c r="H16" t="e">
        <f>'总表-数据收集'!#REF!</f>
        <v>#REF!</v>
      </c>
    </row>
    <row r="17" spans="2:8" ht="18.399999999999999">
      <c r="B17">
        <v>17</v>
      </c>
      <c r="C17" s="41" t="s">
        <v>32</v>
      </c>
      <c r="D17" t="e">
        <f>'总表-数据收集'!#REF!</f>
        <v>#REF!</v>
      </c>
      <c r="E17" t="e">
        <f>'总表-数据收集'!#REF!</f>
        <v>#REF!</v>
      </c>
      <c r="F17" t="e">
        <f>'总表-数据收集'!#REF!</f>
        <v>#REF!</v>
      </c>
      <c r="G17" t="e">
        <f>'总表-数据收集'!#REF!</f>
        <v>#REF!</v>
      </c>
      <c r="H17" t="e">
        <f>'总表-数据收集'!#REF!</f>
        <v>#REF!</v>
      </c>
    </row>
    <row r="18" spans="2:8" ht="18.399999999999999">
      <c r="B18">
        <v>18</v>
      </c>
      <c r="C18" s="38" t="s">
        <v>33</v>
      </c>
      <c r="D18" t="e">
        <f>'总表-数据收集'!#REF!</f>
        <v>#REF!</v>
      </c>
      <c r="E18" t="e">
        <f>'总表-数据收集'!#REF!</f>
        <v>#REF!</v>
      </c>
      <c r="F18" t="e">
        <f>'总表-数据收集'!#REF!</f>
        <v>#REF!</v>
      </c>
      <c r="G18" t="e">
        <f>'总表-数据收集'!#REF!</f>
        <v>#REF!</v>
      </c>
      <c r="H18" t="e">
        <f>'总表-数据收集'!#REF!</f>
        <v>#REF!</v>
      </c>
    </row>
    <row r="19" spans="2:8" ht="18.399999999999999">
      <c r="B19">
        <v>19</v>
      </c>
      <c r="C19" s="36" t="s">
        <v>34</v>
      </c>
      <c r="D19" t="e">
        <f>'总表-数据收集'!#REF!</f>
        <v>#REF!</v>
      </c>
      <c r="E19" t="e">
        <f>'总表-数据收集'!#REF!</f>
        <v>#REF!</v>
      </c>
      <c r="F19" t="e">
        <f>'总表-数据收集'!#REF!</f>
        <v>#REF!</v>
      </c>
      <c r="G19" t="e">
        <f>'总表-数据收集'!#REF!</f>
        <v>#REF!</v>
      </c>
      <c r="H19" t="e">
        <f>'总表-数据收集'!#REF!</f>
        <v>#REF!</v>
      </c>
    </row>
    <row r="20" spans="2:8" ht="18.399999999999999">
      <c r="B20">
        <v>20</v>
      </c>
      <c r="C20" s="42" t="s">
        <v>35</v>
      </c>
      <c r="D20" t="e">
        <f>'总表-数据收集'!#REF!</f>
        <v>#REF!</v>
      </c>
      <c r="E20" t="e">
        <f>'总表-数据收集'!#REF!</f>
        <v>#REF!</v>
      </c>
      <c r="F20" t="e">
        <f>'总表-数据收集'!#REF!</f>
        <v>#REF!</v>
      </c>
      <c r="G20" t="e">
        <f>'总表-数据收集'!#REF!</f>
        <v>#REF!</v>
      </c>
      <c r="H20" t="e">
        <f>'总表-数据收集'!#REF!</f>
        <v>#REF!</v>
      </c>
    </row>
    <row r="21" spans="2:8" ht="18.399999999999999">
      <c r="B21">
        <v>21</v>
      </c>
      <c r="C21" s="43" t="s">
        <v>36</v>
      </c>
      <c r="D21" t="e">
        <f>'总表-数据收集'!#REF!</f>
        <v>#REF!</v>
      </c>
      <c r="E21" t="e">
        <f>'总表-数据收集'!#REF!</f>
        <v>#REF!</v>
      </c>
      <c r="F21" t="e">
        <f>'总表-数据收集'!#REF!</f>
        <v>#REF!</v>
      </c>
      <c r="G21" t="e">
        <f>'总表-数据收集'!#REF!</f>
        <v>#REF!</v>
      </c>
      <c r="H21" t="e">
        <f>'总表-数据收集'!#REF!</f>
        <v>#REF!</v>
      </c>
    </row>
    <row r="24" spans="2:8">
      <c r="C24" t="s">
        <v>63</v>
      </c>
    </row>
    <row r="25" spans="2:8">
      <c r="D25" s="33" t="s">
        <v>44</v>
      </c>
      <c r="E25" s="34" t="s">
        <v>45</v>
      </c>
      <c r="F25" s="34" t="s">
        <v>46</v>
      </c>
      <c r="G25" s="34" t="s">
        <v>97</v>
      </c>
      <c r="H25" s="34" t="s">
        <v>98</v>
      </c>
    </row>
    <row r="26" spans="2:8" ht="18.399999999999999">
      <c r="B26">
        <v>5</v>
      </c>
      <c r="C26" s="35" t="s">
        <v>20</v>
      </c>
      <c r="D26" t="e">
        <f>'总表-数据收集'!#REF!</f>
        <v>#REF!</v>
      </c>
      <c r="E26" t="e">
        <f>'总表-数据收集'!#REF!</f>
        <v>#REF!</v>
      </c>
      <c r="F26" t="e">
        <f>'总表-数据收集'!#REF!</f>
        <v>#REF!</v>
      </c>
      <c r="G26" t="e">
        <f>'总表-数据收集'!#REF!</f>
        <v>#REF!</v>
      </c>
      <c r="H26" t="e">
        <f>'总表-数据收集'!#REF!</f>
        <v>#REF!</v>
      </c>
    </row>
    <row r="27" spans="2:8" ht="18.399999999999999" hidden="1">
      <c r="B27">
        <v>6</v>
      </c>
      <c r="C27" s="36"/>
      <c r="D27" t="e">
        <f>'总表-数据收集'!#REF!</f>
        <v>#REF!</v>
      </c>
      <c r="E27" t="e">
        <f>'总表-数据收集'!#REF!</f>
        <v>#REF!</v>
      </c>
      <c r="F27" t="e">
        <f>'总表-数据收集'!#REF!</f>
        <v>#REF!</v>
      </c>
      <c r="G27" t="e">
        <f>'总表-数据收集'!#REF!</f>
        <v>#REF!</v>
      </c>
      <c r="H27" t="e">
        <f>'总表-数据收集'!#REF!</f>
        <v>#REF!</v>
      </c>
    </row>
    <row r="28" spans="2:8" ht="18.399999999999999">
      <c r="B28">
        <v>6</v>
      </c>
      <c r="C28" s="37" t="s">
        <v>21</v>
      </c>
      <c r="D28" t="e">
        <f>'总表-数据收集'!#REF!</f>
        <v>#REF!</v>
      </c>
      <c r="E28" t="e">
        <f>'总表-数据收集'!#REF!</f>
        <v>#REF!</v>
      </c>
      <c r="F28" t="e">
        <f>'总表-数据收集'!#REF!</f>
        <v>#REF!</v>
      </c>
      <c r="G28" t="e">
        <f>'总表-数据收集'!#REF!</f>
        <v>#REF!</v>
      </c>
      <c r="H28" t="e">
        <f>'总表-数据收集'!#REF!</f>
        <v>#REF!</v>
      </c>
    </row>
    <row r="29" spans="2:8" ht="18.399999999999999">
      <c r="B29">
        <v>7</v>
      </c>
      <c r="C29" s="36" t="s">
        <v>22</v>
      </c>
      <c r="D29" t="e">
        <f>'总表-数据收集'!#REF!</f>
        <v>#REF!</v>
      </c>
      <c r="E29" t="e">
        <f>'总表-数据收集'!#REF!</f>
        <v>#REF!</v>
      </c>
      <c r="F29" t="e">
        <f>'总表-数据收集'!#REF!</f>
        <v>#REF!</v>
      </c>
      <c r="G29" t="e">
        <f>'总表-数据收集'!#REF!</f>
        <v>#REF!</v>
      </c>
      <c r="H29" t="e">
        <f>'总表-数据收集'!#REF!</f>
        <v>#REF!</v>
      </c>
    </row>
    <row r="30" spans="2:8" ht="18.399999999999999">
      <c r="B30">
        <v>8</v>
      </c>
      <c r="C30" s="38" t="s">
        <v>23</v>
      </c>
      <c r="D30" t="e">
        <f>'总表-数据收集'!#REF!</f>
        <v>#REF!</v>
      </c>
      <c r="E30" t="e">
        <f>'总表-数据收集'!#REF!</f>
        <v>#REF!</v>
      </c>
      <c r="F30" t="e">
        <f>'总表-数据收集'!#REF!</f>
        <v>#REF!</v>
      </c>
      <c r="G30" t="e">
        <f>'总表-数据收集'!#REF!</f>
        <v>#REF!</v>
      </c>
      <c r="H30" t="e">
        <f>'总表-数据收集'!#REF!</f>
        <v>#REF!</v>
      </c>
    </row>
    <row r="31" spans="2:8" ht="18.399999999999999">
      <c r="B31">
        <v>9</v>
      </c>
      <c r="C31" s="39" t="s">
        <v>24</v>
      </c>
      <c r="D31" t="e">
        <f>'总表-数据收集'!#REF!</f>
        <v>#REF!</v>
      </c>
      <c r="E31" t="e">
        <f>'总表-数据收集'!#REF!</f>
        <v>#REF!</v>
      </c>
      <c r="F31" t="e">
        <f>'总表-数据收集'!#REF!</f>
        <v>#REF!</v>
      </c>
      <c r="G31" t="e">
        <f>'总表-数据收集'!#REF!</f>
        <v>#REF!</v>
      </c>
      <c r="H31" t="e">
        <f>'总表-数据收集'!#REF!</f>
        <v>#REF!</v>
      </c>
    </row>
    <row r="32" spans="2:8" ht="18.399999999999999">
      <c r="B32">
        <v>10</v>
      </c>
      <c r="C32" s="38" t="s">
        <v>25</v>
      </c>
      <c r="D32" t="e">
        <f>'总表-数据收集'!#REF!</f>
        <v>#REF!</v>
      </c>
      <c r="E32" t="e">
        <f>'总表-数据收集'!#REF!</f>
        <v>#REF!</v>
      </c>
      <c r="F32" t="e">
        <f>'总表-数据收集'!#REF!</f>
        <v>#REF!</v>
      </c>
      <c r="G32" t="e">
        <f>'总表-数据收集'!#REF!</f>
        <v>#REF!</v>
      </c>
      <c r="H32" t="e">
        <f>'总表-数据收集'!#REF!</f>
        <v>#REF!</v>
      </c>
    </row>
    <row r="33" spans="2:8" ht="18.399999999999999">
      <c r="B33">
        <v>11</v>
      </c>
      <c r="C33" s="40" t="s">
        <v>26</v>
      </c>
      <c r="D33" t="e">
        <f>'总表-数据收集'!#REF!</f>
        <v>#REF!</v>
      </c>
      <c r="E33" t="e">
        <f>'总表-数据收集'!#REF!</f>
        <v>#REF!</v>
      </c>
      <c r="F33" t="e">
        <f>'总表-数据收集'!#REF!</f>
        <v>#REF!</v>
      </c>
      <c r="G33" t="e">
        <f>'总表-数据收集'!#REF!</f>
        <v>#REF!</v>
      </c>
      <c r="H33" t="e">
        <f>'总表-数据收集'!#REF!</f>
        <v>#REF!</v>
      </c>
    </row>
    <row r="34" spans="2:8" ht="18.399999999999999">
      <c r="B34">
        <v>12</v>
      </c>
      <c r="C34" s="38" t="s">
        <v>27</v>
      </c>
      <c r="D34" t="e">
        <f>'总表-数据收集'!#REF!</f>
        <v>#REF!</v>
      </c>
      <c r="E34" t="e">
        <f>'总表-数据收集'!#REF!</f>
        <v>#REF!</v>
      </c>
      <c r="F34" t="e">
        <f>'总表-数据收集'!#REF!</f>
        <v>#REF!</v>
      </c>
      <c r="G34" t="e">
        <f>'总表-数据收集'!#REF!</f>
        <v>#REF!</v>
      </c>
      <c r="H34" t="e">
        <f>'总表-数据收集'!#REF!</f>
        <v>#REF!</v>
      </c>
    </row>
    <row r="35" spans="2:8" ht="18.399999999999999">
      <c r="B35">
        <v>13</v>
      </c>
      <c r="C35" s="41" t="s">
        <v>28</v>
      </c>
      <c r="D35" t="e">
        <f>'总表-数据收集'!#REF!</f>
        <v>#REF!</v>
      </c>
      <c r="E35" t="e">
        <f>'总表-数据收集'!#REF!</f>
        <v>#REF!</v>
      </c>
      <c r="F35" t="e">
        <f>'总表-数据收集'!#REF!</f>
        <v>#REF!</v>
      </c>
      <c r="G35" t="e">
        <f>'总表-数据收集'!#REF!</f>
        <v>#REF!</v>
      </c>
      <c r="H35" t="e">
        <f>'总表-数据收集'!#REF!</f>
        <v>#REF!</v>
      </c>
    </row>
    <row r="36" spans="2:8" ht="18.399999999999999">
      <c r="B36">
        <v>14</v>
      </c>
      <c r="C36" s="38" t="s">
        <v>29</v>
      </c>
      <c r="D36" t="e">
        <f>'总表-数据收集'!#REF!</f>
        <v>#REF!</v>
      </c>
      <c r="E36" t="e">
        <f>'总表-数据收集'!#REF!</f>
        <v>#REF!</v>
      </c>
      <c r="F36" t="e">
        <f>'总表-数据收集'!#REF!</f>
        <v>#REF!</v>
      </c>
      <c r="G36" t="e">
        <f>'总表-数据收集'!#REF!</f>
        <v>#REF!</v>
      </c>
      <c r="H36" t="e">
        <f>'总表-数据收集'!#REF!</f>
        <v>#REF!</v>
      </c>
    </row>
    <row r="37" spans="2:8" ht="18.399999999999999">
      <c r="B37">
        <v>15</v>
      </c>
      <c r="C37" s="41" t="s">
        <v>30</v>
      </c>
      <c r="D37" t="e">
        <f>'总表-数据收集'!#REF!</f>
        <v>#REF!</v>
      </c>
      <c r="E37" t="e">
        <f>'总表-数据收集'!#REF!</f>
        <v>#REF!</v>
      </c>
      <c r="F37" t="e">
        <f>'总表-数据收集'!#REF!</f>
        <v>#REF!</v>
      </c>
      <c r="G37" t="e">
        <f>'总表-数据收集'!#REF!</f>
        <v>#REF!</v>
      </c>
      <c r="H37" t="e">
        <f>'总表-数据收集'!#REF!</f>
        <v>#REF!</v>
      </c>
    </row>
    <row r="38" spans="2:8" ht="18.399999999999999">
      <c r="B38">
        <v>16</v>
      </c>
      <c r="C38" s="38" t="s">
        <v>31</v>
      </c>
      <c r="D38" t="e">
        <f>'总表-数据收集'!#REF!</f>
        <v>#REF!</v>
      </c>
      <c r="E38" t="e">
        <f>'总表-数据收集'!#REF!</f>
        <v>#REF!</v>
      </c>
      <c r="F38" t="e">
        <f>'总表-数据收集'!#REF!</f>
        <v>#REF!</v>
      </c>
      <c r="G38" t="e">
        <f>'总表-数据收集'!#REF!</f>
        <v>#REF!</v>
      </c>
      <c r="H38" t="e">
        <f>'总表-数据收集'!#REF!</f>
        <v>#REF!</v>
      </c>
    </row>
    <row r="39" spans="2:8" ht="18.399999999999999">
      <c r="B39">
        <v>17</v>
      </c>
      <c r="C39" s="41" t="s">
        <v>32</v>
      </c>
      <c r="D39" t="e">
        <f>'总表-数据收集'!#REF!</f>
        <v>#REF!</v>
      </c>
      <c r="E39" t="e">
        <f>'总表-数据收集'!#REF!</f>
        <v>#REF!</v>
      </c>
      <c r="F39" t="e">
        <f>'总表-数据收集'!#REF!</f>
        <v>#REF!</v>
      </c>
      <c r="G39" t="e">
        <f>'总表-数据收集'!#REF!</f>
        <v>#REF!</v>
      </c>
      <c r="H39" t="e">
        <f>'总表-数据收集'!#REF!</f>
        <v>#REF!</v>
      </c>
    </row>
    <row r="40" spans="2:8" ht="18.399999999999999">
      <c r="B40">
        <v>18</v>
      </c>
      <c r="C40" s="38" t="s">
        <v>33</v>
      </c>
      <c r="D40" t="e">
        <f>'总表-数据收集'!#REF!</f>
        <v>#REF!</v>
      </c>
      <c r="E40" t="e">
        <f>'总表-数据收集'!#REF!</f>
        <v>#REF!</v>
      </c>
      <c r="F40" t="e">
        <f>'总表-数据收集'!#REF!</f>
        <v>#REF!</v>
      </c>
      <c r="G40" t="e">
        <f>'总表-数据收集'!#REF!</f>
        <v>#REF!</v>
      </c>
      <c r="H40" t="e">
        <f>'总表-数据收集'!#REF!</f>
        <v>#REF!</v>
      </c>
    </row>
    <row r="41" spans="2:8" ht="18.399999999999999">
      <c r="B41">
        <v>19</v>
      </c>
      <c r="C41" s="36" t="s">
        <v>34</v>
      </c>
      <c r="D41" t="e">
        <f>'总表-数据收集'!#REF!</f>
        <v>#REF!</v>
      </c>
      <c r="E41" t="e">
        <f>'总表-数据收集'!#REF!</f>
        <v>#REF!</v>
      </c>
      <c r="F41" t="e">
        <f>'总表-数据收集'!#REF!</f>
        <v>#REF!</v>
      </c>
      <c r="G41" t="e">
        <f>'总表-数据收集'!#REF!</f>
        <v>#REF!</v>
      </c>
      <c r="H41" t="e">
        <f>'总表-数据收集'!#REF!</f>
        <v>#REF!</v>
      </c>
    </row>
    <row r="42" spans="2:8" ht="18.399999999999999">
      <c r="B42">
        <v>20</v>
      </c>
      <c r="C42" s="42" t="s">
        <v>35</v>
      </c>
      <c r="D42" t="e">
        <f>'总表-数据收集'!#REF!</f>
        <v>#REF!</v>
      </c>
      <c r="E42" t="e">
        <f>'总表-数据收集'!#REF!</f>
        <v>#REF!</v>
      </c>
      <c r="F42" t="e">
        <f>'总表-数据收集'!#REF!</f>
        <v>#REF!</v>
      </c>
      <c r="G42" t="e">
        <f>'总表-数据收集'!#REF!</f>
        <v>#REF!</v>
      </c>
      <c r="H42" t="e">
        <f>'总表-数据收集'!#REF!</f>
        <v>#REF!</v>
      </c>
    </row>
    <row r="43" spans="2:8" ht="18.399999999999999">
      <c r="B43">
        <v>21</v>
      </c>
      <c r="C43" s="43" t="s">
        <v>36</v>
      </c>
      <c r="D43" t="e">
        <f>'总表-数据收集'!#REF!</f>
        <v>#REF!</v>
      </c>
      <c r="E43" t="e">
        <f>'总表-数据收集'!#REF!</f>
        <v>#REF!</v>
      </c>
      <c r="F43" t="e">
        <f>'总表-数据收集'!#REF!</f>
        <v>#REF!</v>
      </c>
      <c r="G43" t="e">
        <f>'总表-数据收集'!#REF!</f>
        <v>#REF!</v>
      </c>
      <c r="H43" t="e">
        <f>'总表-数据收集'!#REF!</f>
        <v>#REF!</v>
      </c>
    </row>
    <row r="47" spans="2:8">
      <c r="C47" t="s">
        <v>64</v>
      </c>
    </row>
    <row r="48" spans="2:8">
      <c r="D48" s="33" t="s">
        <v>44</v>
      </c>
      <c r="E48" s="34" t="s">
        <v>45</v>
      </c>
      <c r="F48" s="34" t="s">
        <v>46</v>
      </c>
      <c r="G48" s="34" t="s">
        <v>97</v>
      </c>
      <c r="H48" s="34" t="s">
        <v>98</v>
      </c>
    </row>
    <row r="49" spans="2:8" ht="18.399999999999999">
      <c r="B49">
        <v>5</v>
      </c>
      <c r="C49" s="35" t="s">
        <v>20</v>
      </c>
      <c r="D49" t="e">
        <f>'总表-数据收集'!#REF!</f>
        <v>#REF!</v>
      </c>
      <c r="E49" t="e">
        <f>'总表-数据收集'!#REF!</f>
        <v>#REF!</v>
      </c>
      <c r="F49" t="e">
        <f>'总表-数据收集'!#REF!</f>
        <v>#REF!</v>
      </c>
      <c r="G49" t="e">
        <f>'总表-数据收集'!#REF!</f>
        <v>#REF!</v>
      </c>
      <c r="H49" t="e">
        <f>'总表-数据收集'!#REF!</f>
        <v>#REF!</v>
      </c>
    </row>
    <row r="50" spans="2:8" ht="18.399999999999999" hidden="1">
      <c r="B50">
        <v>6</v>
      </c>
      <c r="C50" s="36"/>
      <c r="D50" t="e">
        <f>'总表-数据收集'!#REF!</f>
        <v>#REF!</v>
      </c>
      <c r="E50" t="e">
        <f>'总表-数据收集'!#REF!</f>
        <v>#REF!</v>
      </c>
      <c r="F50" t="e">
        <f>'总表-数据收集'!#REF!</f>
        <v>#REF!</v>
      </c>
      <c r="G50" t="e">
        <f>'总表-数据收集'!#REF!</f>
        <v>#REF!</v>
      </c>
      <c r="H50" t="e">
        <f>'总表-数据收集'!#REF!</f>
        <v>#REF!</v>
      </c>
    </row>
    <row r="51" spans="2:8" ht="18.399999999999999">
      <c r="B51">
        <v>6</v>
      </c>
      <c r="C51" s="37" t="s">
        <v>21</v>
      </c>
      <c r="D51" t="e">
        <f>'总表-数据收集'!#REF!</f>
        <v>#REF!</v>
      </c>
      <c r="E51" t="e">
        <f>'总表-数据收集'!#REF!</f>
        <v>#REF!</v>
      </c>
      <c r="F51" t="e">
        <f>'总表-数据收集'!#REF!</f>
        <v>#REF!</v>
      </c>
      <c r="G51" t="e">
        <f>'总表-数据收集'!#REF!</f>
        <v>#REF!</v>
      </c>
      <c r="H51" t="e">
        <f>'总表-数据收集'!#REF!</f>
        <v>#REF!</v>
      </c>
    </row>
    <row r="52" spans="2:8" ht="18.399999999999999">
      <c r="B52">
        <v>7</v>
      </c>
      <c r="C52" s="36" t="s">
        <v>22</v>
      </c>
      <c r="D52" t="e">
        <f>'总表-数据收集'!#REF!</f>
        <v>#REF!</v>
      </c>
      <c r="E52" t="e">
        <f>'总表-数据收集'!#REF!</f>
        <v>#REF!</v>
      </c>
      <c r="F52" t="e">
        <f>'总表-数据收集'!#REF!</f>
        <v>#REF!</v>
      </c>
      <c r="G52" t="e">
        <f>'总表-数据收集'!#REF!</f>
        <v>#REF!</v>
      </c>
      <c r="H52" t="e">
        <f>'总表-数据收集'!#REF!</f>
        <v>#REF!</v>
      </c>
    </row>
    <row r="53" spans="2:8" ht="18.399999999999999">
      <c r="B53">
        <v>8</v>
      </c>
      <c r="C53" s="38" t="s">
        <v>23</v>
      </c>
      <c r="D53" t="e">
        <f>'总表-数据收集'!#REF!</f>
        <v>#REF!</v>
      </c>
      <c r="E53" t="e">
        <f>'总表-数据收集'!#REF!</f>
        <v>#REF!</v>
      </c>
      <c r="F53" t="e">
        <f>'总表-数据收集'!#REF!</f>
        <v>#REF!</v>
      </c>
      <c r="G53" t="e">
        <f>'总表-数据收集'!#REF!</f>
        <v>#REF!</v>
      </c>
      <c r="H53" t="e">
        <f>'总表-数据收集'!#REF!</f>
        <v>#REF!</v>
      </c>
    </row>
    <row r="54" spans="2:8" ht="18.399999999999999">
      <c r="B54">
        <v>9</v>
      </c>
      <c r="C54" s="39" t="s">
        <v>24</v>
      </c>
      <c r="D54" t="e">
        <f>'总表-数据收集'!#REF!</f>
        <v>#REF!</v>
      </c>
      <c r="E54" t="e">
        <f>'总表-数据收集'!#REF!</f>
        <v>#REF!</v>
      </c>
      <c r="F54" t="e">
        <f>'总表-数据收集'!#REF!</f>
        <v>#REF!</v>
      </c>
      <c r="G54" t="e">
        <f>'总表-数据收集'!#REF!</f>
        <v>#REF!</v>
      </c>
      <c r="H54" t="e">
        <f>'总表-数据收集'!#REF!</f>
        <v>#REF!</v>
      </c>
    </row>
    <row r="55" spans="2:8" ht="18.399999999999999">
      <c r="B55">
        <v>10</v>
      </c>
      <c r="C55" s="38" t="s">
        <v>25</v>
      </c>
      <c r="D55" t="e">
        <f>'总表-数据收集'!#REF!</f>
        <v>#REF!</v>
      </c>
      <c r="E55" t="e">
        <f>'总表-数据收集'!#REF!</f>
        <v>#REF!</v>
      </c>
      <c r="F55" t="e">
        <f>'总表-数据收集'!#REF!</f>
        <v>#REF!</v>
      </c>
      <c r="G55" t="e">
        <f>'总表-数据收集'!#REF!</f>
        <v>#REF!</v>
      </c>
      <c r="H55" t="e">
        <f>'总表-数据收集'!#REF!</f>
        <v>#REF!</v>
      </c>
    </row>
    <row r="56" spans="2:8" ht="18.399999999999999">
      <c r="B56">
        <v>11</v>
      </c>
      <c r="C56" s="40" t="s">
        <v>26</v>
      </c>
      <c r="D56" t="e">
        <f>'总表-数据收集'!#REF!</f>
        <v>#REF!</v>
      </c>
      <c r="E56" t="e">
        <f>'总表-数据收集'!#REF!</f>
        <v>#REF!</v>
      </c>
      <c r="F56" t="e">
        <f>'总表-数据收集'!#REF!</f>
        <v>#REF!</v>
      </c>
      <c r="G56" t="e">
        <f>'总表-数据收集'!#REF!</f>
        <v>#REF!</v>
      </c>
      <c r="H56" t="e">
        <f>'总表-数据收集'!#REF!</f>
        <v>#REF!</v>
      </c>
    </row>
    <row r="57" spans="2:8" ht="18.399999999999999">
      <c r="B57">
        <v>12</v>
      </c>
      <c r="C57" s="38" t="s">
        <v>27</v>
      </c>
      <c r="D57" t="e">
        <f>'总表-数据收集'!#REF!</f>
        <v>#REF!</v>
      </c>
      <c r="E57" t="e">
        <f>'总表-数据收集'!#REF!</f>
        <v>#REF!</v>
      </c>
      <c r="F57" t="e">
        <f>'总表-数据收集'!#REF!</f>
        <v>#REF!</v>
      </c>
      <c r="G57" t="e">
        <f>'总表-数据收集'!#REF!</f>
        <v>#REF!</v>
      </c>
      <c r="H57" t="e">
        <f>'总表-数据收集'!#REF!</f>
        <v>#REF!</v>
      </c>
    </row>
    <row r="58" spans="2:8" ht="18.399999999999999">
      <c r="B58">
        <v>13</v>
      </c>
      <c r="C58" s="41" t="s">
        <v>28</v>
      </c>
      <c r="D58" t="e">
        <f>'总表-数据收集'!#REF!</f>
        <v>#REF!</v>
      </c>
      <c r="E58" t="e">
        <f>'总表-数据收集'!#REF!</f>
        <v>#REF!</v>
      </c>
      <c r="F58" t="e">
        <f>'总表-数据收集'!#REF!</f>
        <v>#REF!</v>
      </c>
      <c r="G58" t="e">
        <f>'总表-数据收集'!#REF!</f>
        <v>#REF!</v>
      </c>
      <c r="H58" t="e">
        <f>'总表-数据收集'!#REF!</f>
        <v>#REF!</v>
      </c>
    </row>
    <row r="59" spans="2:8" ht="18.399999999999999">
      <c r="B59">
        <v>14</v>
      </c>
      <c r="C59" s="38" t="s">
        <v>29</v>
      </c>
      <c r="D59" t="e">
        <f>'总表-数据收集'!#REF!</f>
        <v>#REF!</v>
      </c>
      <c r="E59" t="e">
        <f>'总表-数据收集'!#REF!</f>
        <v>#REF!</v>
      </c>
      <c r="F59" t="e">
        <f>'总表-数据收集'!#REF!</f>
        <v>#REF!</v>
      </c>
      <c r="G59" t="e">
        <f>'总表-数据收集'!#REF!</f>
        <v>#REF!</v>
      </c>
      <c r="H59" t="e">
        <f>'总表-数据收集'!#REF!</f>
        <v>#REF!</v>
      </c>
    </row>
    <row r="60" spans="2:8" ht="18.399999999999999">
      <c r="B60">
        <v>15</v>
      </c>
      <c r="C60" s="41" t="s">
        <v>30</v>
      </c>
      <c r="D60" t="e">
        <f>'总表-数据收集'!#REF!</f>
        <v>#REF!</v>
      </c>
      <c r="E60" t="e">
        <f>'总表-数据收集'!#REF!</f>
        <v>#REF!</v>
      </c>
      <c r="F60" t="e">
        <f>'总表-数据收集'!#REF!</f>
        <v>#REF!</v>
      </c>
      <c r="G60" t="e">
        <f>'总表-数据收集'!#REF!</f>
        <v>#REF!</v>
      </c>
      <c r="H60" t="e">
        <f>'总表-数据收集'!#REF!</f>
        <v>#REF!</v>
      </c>
    </row>
    <row r="61" spans="2:8" ht="18.399999999999999">
      <c r="B61">
        <v>16</v>
      </c>
      <c r="C61" s="38" t="s">
        <v>31</v>
      </c>
      <c r="D61" t="e">
        <f>'总表-数据收集'!#REF!</f>
        <v>#REF!</v>
      </c>
      <c r="E61" t="e">
        <f>'总表-数据收集'!#REF!</f>
        <v>#REF!</v>
      </c>
      <c r="F61" t="e">
        <f>'总表-数据收集'!#REF!</f>
        <v>#REF!</v>
      </c>
      <c r="G61" t="e">
        <f>'总表-数据收集'!#REF!</f>
        <v>#REF!</v>
      </c>
      <c r="H61" t="e">
        <f>'总表-数据收集'!#REF!</f>
        <v>#REF!</v>
      </c>
    </row>
    <row r="62" spans="2:8" ht="18.399999999999999">
      <c r="B62">
        <v>17</v>
      </c>
      <c r="C62" s="41" t="s">
        <v>32</v>
      </c>
      <c r="D62" t="e">
        <f>'总表-数据收集'!#REF!</f>
        <v>#REF!</v>
      </c>
      <c r="E62" t="e">
        <f>'总表-数据收集'!#REF!</f>
        <v>#REF!</v>
      </c>
      <c r="F62" t="e">
        <f>'总表-数据收集'!#REF!</f>
        <v>#REF!</v>
      </c>
      <c r="G62" t="e">
        <f>'总表-数据收集'!#REF!</f>
        <v>#REF!</v>
      </c>
      <c r="H62" t="e">
        <f>'总表-数据收集'!#REF!</f>
        <v>#REF!</v>
      </c>
    </row>
    <row r="63" spans="2:8" ht="18.399999999999999">
      <c r="B63">
        <v>18</v>
      </c>
      <c r="C63" s="38" t="s">
        <v>33</v>
      </c>
      <c r="D63" t="e">
        <f>'总表-数据收集'!#REF!</f>
        <v>#REF!</v>
      </c>
      <c r="E63" t="e">
        <f>'总表-数据收集'!#REF!</f>
        <v>#REF!</v>
      </c>
      <c r="F63" t="e">
        <f>'总表-数据收集'!#REF!</f>
        <v>#REF!</v>
      </c>
      <c r="G63" t="e">
        <f>'总表-数据收集'!#REF!</f>
        <v>#REF!</v>
      </c>
      <c r="H63" t="e">
        <f>'总表-数据收集'!#REF!</f>
        <v>#REF!</v>
      </c>
    </row>
    <row r="64" spans="2:8" ht="18.399999999999999">
      <c r="B64">
        <v>19</v>
      </c>
      <c r="C64" s="36" t="s">
        <v>34</v>
      </c>
      <c r="D64" t="e">
        <f>'总表-数据收集'!#REF!</f>
        <v>#REF!</v>
      </c>
      <c r="E64" t="e">
        <f>'总表-数据收集'!#REF!</f>
        <v>#REF!</v>
      </c>
      <c r="F64" t="e">
        <f>'总表-数据收集'!#REF!</f>
        <v>#REF!</v>
      </c>
      <c r="G64" t="e">
        <f>'总表-数据收集'!#REF!</f>
        <v>#REF!</v>
      </c>
      <c r="H64" t="e">
        <f>'总表-数据收集'!#REF!</f>
        <v>#REF!</v>
      </c>
    </row>
    <row r="65" spans="2:8" ht="18.399999999999999">
      <c r="B65">
        <v>20</v>
      </c>
      <c r="C65" s="36" t="s">
        <v>35</v>
      </c>
      <c r="D65" t="e">
        <f>'总表-数据收集'!#REF!</f>
        <v>#REF!</v>
      </c>
      <c r="E65" t="e">
        <f>'总表-数据收集'!#REF!</f>
        <v>#REF!</v>
      </c>
      <c r="F65" t="e">
        <f>'总表-数据收集'!#REF!</f>
        <v>#REF!</v>
      </c>
      <c r="G65" t="e">
        <f>'总表-数据收集'!#REF!</f>
        <v>#REF!</v>
      </c>
      <c r="H65" t="e">
        <f>'总表-数据收集'!#REF!</f>
        <v>#REF!</v>
      </c>
    </row>
    <row r="66" spans="2:8" ht="18.399999999999999">
      <c r="B66">
        <v>21</v>
      </c>
      <c r="C66" s="36" t="s">
        <v>36</v>
      </c>
      <c r="D66" t="e">
        <f>'总表-数据收集'!#REF!</f>
        <v>#REF!</v>
      </c>
      <c r="E66" t="e">
        <f>'总表-数据收集'!#REF!</f>
        <v>#REF!</v>
      </c>
      <c r="F66" t="e">
        <f>'总表-数据收集'!#REF!</f>
        <v>#REF!</v>
      </c>
      <c r="G66" t="e">
        <f>'总表-数据收集'!#REF!</f>
        <v>#REF!</v>
      </c>
      <c r="H66" t="e">
        <f>'总表-数据收集'!#REF!</f>
        <v>#REF!</v>
      </c>
    </row>
  </sheetData>
  <phoneticPr fontId="27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62"/>
  <sheetViews>
    <sheetView zoomScale="54" zoomScaleNormal="54" workbookViewId="0">
      <selection activeCell="V13" sqref="V13"/>
    </sheetView>
  </sheetViews>
  <sheetFormatPr defaultColWidth="8.265625" defaultRowHeight="13.5"/>
  <cols>
    <col min="1" max="1" width="16.265625" style="6" customWidth="1"/>
    <col min="2" max="2" width="10.265625" style="6"/>
    <col min="3" max="3" width="8.6640625" style="6" customWidth="1"/>
    <col min="4" max="4" width="10.265625" style="6"/>
    <col min="5" max="5" width="8.265625" style="6"/>
    <col min="6" max="7" width="9.9296875" style="6" customWidth="1"/>
    <col min="8" max="14" width="8.265625" style="6"/>
    <col min="15" max="15" width="16.265625" style="6" customWidth="1"/>
    <col min="16" max="28" width="11.19921875" style="6" customWidth="1"/>
    <col min="29" max="29" width="16.265625" style="6" customWidth="1"/>
    <col min="30" max="38" width="11.19921875" style="6" customWidth="1"/>
    <col min="39" max="39" width="9" style="6"/>
    <col min="40" max="40" width="10.46484375" style="6" customWidth="1"/>
    <col min="41" max="41" width="11.73046875" style="6"/>
    <col min="42" max="16384" width="8.265625" style="6"/>
  </cols>
  <sheetData>
    <row r="1" spans="1:39" ht="25.9" customHeight="1">
      <c r="A1" s="264" t="s">
        <v>99</v>
      </c>
      <c r="B1" s="264"/>
      <c r="C1" s="264"/>
      <c r="D1" s="264"/>
      <c r="E1" s="264"/>
      <c r="F1" s="264"/>
      <c r="G1" s="264"/>
      <c r="H1" s="264"/>
      <c r="I1" s="264"/>
      <c r="J1" s="264"/>
      <c r="K1" s="7"/>
      <c r="L1" s="7"/>
      <c r="M1" s="7"/>
      <c r="O1" s="265" t="s">
        <v>100</v>
      </c>
      <c r="P1" s="264"/>
      <c r="Q1" s="264"/>
      <c r="R1" s="264"/>
      <c r="S1" s="264"/>
      <c r="T1" s="264"/>
      <c r="U1" s="264"/>
      <c r="V1" s="264"/>
      <c r="W1" s="264"/>
      <c r="X1" s="264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0.350000000000001" customHeight="1">
      <c r="A2" s="8" t="s">
        <v>101</v>
      </c>
      <c r="B2" s="8" t="s">
        <v>102</v>
      </c>
      <c r="C2" s="9" t="s">
        <v>103</v>
      </c>
      <c r="D2" s="9" t="s">
        <v>104</v>
      </c>
      <c r="E2" s="10" t="s">
        <v>105</v>
      </c>
      <c r="F2" s="10" t="s">
        <v>106</v>
      </c>
      <c r="G2" s="10" t="s">
        <v>107</v>
      </c>
      <c r="H2" s="10" t="s">
        <v>108</v>
      </c>
      <c r="I2" s="10" t="s">
        <v>109</v>
      </c>
      <c r="J2" s="10" t="s">
        <v>110</v>
      </c>
      <c r="K2" s="10" t="s">
        <v>111</v>
      </c>
      <c r="L2" s="10" t="s">
        <v>112</v>
      </c>
      <c r="M2" s="10" t="s">
        <v>113</v>
      </c>
      <c r="O2" s="8" t="s">
        <v>101</v>
      </c>
      <c r="P2" s="8" t="s">
        <v>102</v>
      </c>
      <c r="Q2" s="9" t="s">
        <v>103</v>
      </c>
      <c r="R2" s="9" t="s">
        <v>104</v>
      </c>
      <c r="S2" s="10" t="s">
        <v>105</v>
      </c>
      <c r="T2" s="10" t="s">
        <v>106</v>
      </c>
      <c r="U2" s="10" t="s">
        <v>107</v>
      </c>
      <c r="V2" s="10" t="s">
        <v>108</v>
      </c>
      <c r="W2" s="10" t="s">
        <v>109</v>
      </c>
      <c r="X2" s="10" t="s">
        <v>110</v>
      </c>
      <c r="Y2" s="10" t="s">
        <v>111</v>
      </c>
      <c r="Z2" s="10" t="s">
        <v>112</v>
      </c>
      <c r="AA2" s="10" t="s">
        <v>113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spans="1:39" ht="20.350000000000001" customHeight="1">
      <c r="A3" s="12" t="s">
        <v>20</v>
      </c>
      <c r="B3" s="12">
        <f>VLOOKUP(A3,'[2]2026月度数据对比'!$A$2:$B$18,2,FALSE)</f>
        <v>36</v>
      </c>
      <c r="C3" s="12">
        <f>VLOOKUP(A3,'[2]2026月度数据对比'!$A$3:$C$18,3,FALSE)</f>
        <v>4</v>
      </c>
      <c r="D3" s="12">
        <v>9</v>
      </c>
      <c r="E3" s="12">
        <v>7</v>
      </c>
      <c r="F3" s="12">
        <v>8</v>
      </c>
      <c r="G3" s="12"/>
      <c r="H3" s="12"/>
      <c r="I3" s="12"/>
      <c r="J3" s="12"/>
      <c r="K3" s="12"/>
      <c r="L3" s="12"/>
      <c r="M3" s="12"/>
      <c r="O3" s="12" t="s">
        <v>20</v>
      </c>
      <c r="P3" s="13">
        <f>VLOOKUP(O3,'[2]2026月度数据对比'!$O$3:$P$18,2,FALSE)</f>
        <v>0.31</v>
      </c>
      <c r="Q3" s="13">
        <f>VLOOKUP(O3,'[2]2026月度数据对比'!$O$3:$Q$18,3,FALSE)</f>
        <v>0.1</v>
      </c>
      <c r="R3" s="13">
        <v>0.158</v>
      </c>
      <c r="S3" s="13">
        <v>8.0000000000000002E-3</v>
      </c>
      <c r="T3" s="13">
        <v>0.2</v>
      </c>
      <c r="U3" s="14"/>
      <c r="V3" s="14"/>
      <c r="W3" s="14"/>
      <c r="X3" s="13"/>
      <c r="Y3" s="13"/>
      <c r="Z3" s="13"/>
      <c r="AA3" s="13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</row>
    <row r="4" spans="1:39" ht="20.350000000000001" customHeight="1">
      <c r="A4" s="12" t="s">
        <v>21</v>
      </c>
      <c r="B4" s="12">
        <v>6</v>
      </c>
      <c r="C4" s="12">
        <v>3</v>
      </c>
      <c r="D4" s="12">
        <v>9</v>
      </c>
      <c r="E4" s="12">
        <v>12</v>
      </c>
      <c r="F4" s="12">
        <v>10</v>
      </c>
      <c r="G4" s="12"/>
      <c r="H4" s="12"/>
      <c r="I4" s="12"/>
      <c r="J4" s="12"/>
      <c r="K4" s="12"/>
      <c r="L4" s="12"/>
      <c r="M4" s="12"/>
      <c r="O4" s="12" t="s">
        <v>21</v>
      </c>
      <c r="P4" s="13">
        <v>0.12</v>
      </c>
      <c r="Q4" s="13">
        <v>0.23</v>
      </c>
      <c r="R4" s="13">
        <v>0.13</v>
      </c>
      <c r="S4" s="13">
        <v>0.1043</v>
      </c>
      <c r="T4" s="13">
        <v>0.16</v>
      </c>
      <c r="U4" s="13"/>
      <c r="V4" s="13"/>
      <c r="W4" s="13"/>
      <c r="X4" s="13"/>
      <c r="Y4" s="13"/>
      <c r="Z4" s="13"/>
      <c r="AA4" s="13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ht="20.350000000000001" customHeight="1">
      <c r="A5" s="12" t="s">
        <v>22</v>
      </c>
      <c r="B5" s="12">
        <f>VLOOKUP(A5,'[2]2026月度数据对比'!$A$2:$B$18,2,FALSE)</f>
        <v>6</v>
      </c>
      <c r="C5" s="12">
        <f>VLOOKUP(A5,'[2]2026月度数据对比'!$A$3:$C$18,3,FALSE)</f>
        <v>13</v>
      </c>
      <c r="D5" s="12">
        <v>17</v>
      </c>
      <c r="E5" s="12">
        <v>16</v>
      </c>
      <c r="F5" s="12">
        <v>15</v>
      </c>
      <c r="G5" s="12"/>
      <c r="H5" s="12"/>
      <c r="I5" s="12"/>
      <c r="J5" s="12"/>
      <c r="K5" s="12"/>
      <c r="L5" s="12"/>
      <c r="M5" s="12"/>
      <c r="O5" s="12" t="s">
        <v>22</v>
      </c>
      <c r="P5" s="13">
        <f>VLOOKUP(O5,'[2]2026月度数据对比'!$O$3:$P$18,2,FALSE)</f>
        <v>0.06</v>
      </c>
      <c r="Q5" s="13">
        <f>VLOOKUP(O5,'[2]2026月度数据对比'!$O$3:$Q$18,3,FALSE)</f>
        <v>0.6</v>
      </c>
      <c r="R5" s="13">
        <v>0.34599999999999997</v>
      </c>
      <c r="S5" s="13">
        <v>0.1</v>
      </c>
      <c r="T5" s="13">
        <v>0.2</v>
      </c>
      <c r="U5" s="13"/>
      <c r="V5" s="13"/>
      <c r="W5" s="13"/>
      <c r="X5" s="13"/>
      <c r="Y5" s="13"/>
      <c r="Z5" s="13"/>
      <c r="AA5" s="13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pans="1:39" ht="20.350000000000001" customHeight="1">
      <c r="A6" s="12" t="s">
        <v>23</v>
      </c>
      <c r="B6" s="12">
        <f>VLOOKUP(A6,'[2]2026月度数据对比'!$A$2:$B$18,2,FALSE)</f>
        <v>7</v>
      </c>
      <c r="C6" s="12">
        <f>VLOOKUP(A6,'[2]2026月度数据对比'!$A$3:$C$18,3,FALSE)</f>
        <v>3</v>
      </c>
      <c r="D6" s="12">
        <v>7</v>
      </c>
      <c r="E6" s="12">
        <v>3</v>
      </c>
      <c r="F6" s="12">
        <v>6</v>
      </c>
      <c r="G6" s="12"/>
      <c r="H6" s="12"/>
      <c r="I6" s="12"/>
      <c r="J6" s="12"/>
      <c r="K6" s="12"/>
      <c r="L6" s="12"/>
      <c r="M6" s="12"/>
      <c r="O6" s="12" t="s">
        <v>23</v>
      </c>
      <c r="P6" s="13">
        <f>VLOOKUP(O6,'[2]2026月度数据对比'!$O$3:$P$18,2,FALSE)</f>
        <v>0.12</v>
      </c>
      <c r="Q6" s="13">
        <f>VLOOKUP(O6,'[2]2026月度数据对比'!$O$3:$Q$18,3,FALSE)</f>
        <v>0.17</v>
      </c>
      <c r="R6" s="13">
        <v>0.18</v>
      </c>
      <c r="S6" s="13">
        <v>0.1</v>
      </c>
      <c r="T6" s="13">
        <v>0.16</v>
      </c>
      <c r="U6" s="13"/>
      <c r="V6" s="13"/>
      <c r="W6" s="13"/>
      <c r="X6" s="13"/>
      <c r="Y6" s="13"/>
      <c r="Z6" s="13"/>
      <c r="AA6" s="13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pans="1:39" ht="20.350000000000001" customHeight="1">
      <c r="A7" s="12" t="s">
        <v>24</v>
      </c>
      <c r="B7" s="12">
        <f>VLOOKUP(A7,'[2]2026月度数据对比'!$A$2:$B$18,2,FALSE)</f>
        <v>1</v>
      </c>
      <c r="C7" s="12">
        <f>VLOOKUP(A7,'[2]2026月度数据对比'!$A$3:$C$18,3,FALSE)</f>
        <v>0</v>
      </c>
      <c r="D7" s="12">
        <v>2</v>
      </c>
      <c r="E7" s="12">
        <v>2</v>
      </c>
      <c r="F7" s="12">
        <v>4</v>
      </c>
      <c r="G7" s="12"/>
      <c r="H7" s="12"/>
      <c r="I7" s="12"/>
      <c r="J7" s="12"/>
      <c r="K7" s="12"/>
      <c r="L7" s="12"/>
      <c r="M7" s="12"/>
      <c r="O7" s="12" t="s">
        <v>24</v>
      </c>
      <c r="P7" s="13">
        <f>VLOOKUP(O7,'[2]2026月度数据对比'!$O$3:$P$18,2,FALSE)</f>
        <v>0</v>
      </c>
      <c r="Q7" s="13">
        <f>VLOOKUP(O7,'[2]2026月度数据对比'!$O$3:$Q$18,3,FALSE)</f>
        <v>0</v>
      </c>
      <c r="R7" s="13">
        <v>0.03</v>
      </c>
      <c r="S7" s="13">
        <v>6.7000000000000004E-2</v>
      </c>
      <c r="T7" s="13">
        <v>8.3000000000000004E-2</v>
      </c>
      <c r="U7" s="13"/>
      <c r="V7" s="13"/>
      <c r="W7" s="13"/>
      <c r="X7" s="13"/>
      <c r="Y7" s="13"/>
      <c r="Z7" s="13"/>
      <c r="AA7" s="13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ht="20.350000000000001" customHeight="1">
      <c r="A8" s="12" t="s">
        <v>25</v>
      </c>
      <c r="B8" s="12">
        <f>VLOOKUP(A8,'[2]2026月度数据对比'!$A$2:$B$18,2,FALSE)</f>
        <v>11</v>
      </c>
      <c r="C8" s="12">
        <f>VLOOKUP(A8,'[2]2026月度数据对比'!$A$3:$C$18,3,FALSE)</f>
        <v>5</v>
      </c>
      <c r="D8" s="12">
        <v>9</v>
      </c>
      <c r="E8" s="16">
        <v>7</v>
      </c>
      <c r="F8" s="16">
        <v>8</v>
      </c>
      <c r="G8" s="16"/>
      <c r="H8" s="16"/>
      <c r="I8" s="16"/>
      <c r="J8" s="16"/>
      <c r="K8" s="16"/>
      <c r="L8" s="16"/>
      <c r="M8" s="12"/>
      <c r="O8" s="12" t="s">
        <v>25</v>
      </c>
      <c r="P8" s="13">
        <f>VLOOKUP(O8,'[2]2026月度数据对比'!$O$3:$P$18,2,FALSE)</f>
        <v>0.21</v>
      </c>
      <c r="Q8" s="13">
        <f>VLOOKUP(O8,'[2]2026月度数据对比'!$O$3:$Q$18,3,FALSE)</f>
        <v>0.11</v>
      </c>
      <c r="R8" s="13">
        <v>0.2</v>
      </c>
      <c r="S8" s="17">
        <v>0.17</v>
      </c>
      <c r="T8" s="17">
        <v>0.23599999999999999</v>
      </c>
      <c r="U8" s="17"/>
      <c r="V8" s="17"/>
      <c r="W8" s="17"/>
      <c r="X8" s="17"/>
      <c r="Y8" s="17"/>
      <c r="Z8" s="17"/>
      <c r="AA8" s="13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</row>
    <row r="9" spans="1:39" ht="20.350000000000001" customHeight="1">
      <c r="A9" s="12" t="s">
        <v>26</v>
      </c>
      <c r="B9" s="12">
        <f>VLOOKUP(A9,'[2]2026月度数据对比'!$A$2:$B$18,2,FALSE)</f>
        <v>15</v>
      </c>
      <c r="C9" s="12">
        <f>VLOOKUP(A9,'[2]2026月度数据对比'!$A$3:$C$18,3,FALSE)</f>
        <v>7</v>
      </c>
      <c r="D9" s="12">
        <v>10</v>
      </c>
      <c r="E9" s="16">
        <v>5</v>
      </c>
      <c r="F9" s="16">
        <v>8</v>
      </c>
      <c r="G9" s="16"/>
      <c r="H9" s="16"/>
      <c r="I9" s="16"/>
      <c r="J9" s="16"/>
      <c r="K9" s="16"/>
      <c r="L9" s="16"/>
      <c r="M9" s="16"/>
      <c r="O9" s="12" t="s">
        <v>26</v>
      </c>
      <c r="P9" s="13">
        <f>VLOOKUP(O9,'[2]2026月度数据对比'!$O$3:$P$18,2,FALSE)</f>
        <v>0.15</v>
      </c>
      <c r="Q9" s="13">
        <f>VLOOKUP(O9,'[2]2026月度数据对比'!$O$3:$Q$18,3,FALSE)</f>
        <v>0.15</v>
      </c>
      <c r="R9" s="13">
        <v>0.15</v>
      </c>
      <c r="S9" s="17">
        <v>0.15</v>
      </c>
      <c r="T9" s="17">
        <v>0.15</v>
      </c>
      <c r="U9" s="17"/>
      <c r="V9" s="17"/>
      <c r="W9" s="17"/>
      <c r="X9" s="17"/>
      <c r="Y9" s="17"/>
      <c r="Z9" s="17"/>
      <c r="AA9" s="17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 spans="1:39" ht="20.350000000000001" customHeight="1">
      <c r="A10" s="12" t="s">
        <v>27</v>
      </c>
      <c r="B10" s="12"/>
      <c r="C10" s="12"/>
      <c r="D10" s="12">
        <v>16</v>
      </c>
      <c r="E10" s="16">
        <v>9</v>
      </c>
      <c r="F10" s="16">
        <v>9</v>
      </c>
      <c r="G10" s="16"/>
      <c r="H10" s="16"/>
      <c r="I10" s="16"/>
      <c r="J10" s="16"/>
      <c r="K10" s="16"/>
      <c r="L10" s="16"/>
      <c r="M10" s="16"/>
      <c r="O10" s="12" t="s">
        <v>27</v>
      </c>
      <c r="P10" s="13"/>
      <c r="Q10" s="13"/>
      <c r="R10" s="13">
        <v>0.15</v>
      </c>
      <c r="S10" s="17">
        <v>0.12</v>
      </c>
      <c r="T10" s="19">
        <v>0.21</v>
      </c>
      <c r="U10" s="17"/>
      <c r="V10" s="17"/>
      <c r="W10" s="17"/>
      <c r="X10" s="17"/>
      <c r="Y10" s="17"/>
      <c r="Z10" s="17"/>
      <c r="AA10" s="17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20.350000000000001" customHeight="1">
      <c r="A11" s="12" t="s">
        <v>28</v>
      </c>
      <c r="B11" s="12">
        <f>VLOOKUP(A11,'[2]2026月度数据对比'!$A$2:$B$18,2,FALSE)</f>
        <v>10</v>
      </c>
      <c r="C11" s="12">
        <f>VLOOKUP(A11,'[2]2026月度数据对比'!$A$3:$C$18,3,FALSE)</f>
        <v>3</v>
      </c>
      <c r="D11" s="12">
        <v>6</v>
      </c>
      <c r="E11" s="16">
        <v>2</v>
      </c>
      <c r="F11" s="16">
        <v>4</v>
      </c>
      <c r="G11" s="16"/>
      <c r="H11" s="16"/>
      <c r="I11" s="16"/>
      <c r="J11" s="16"/>
      <c r="K11" s="16"/>
      <c r="L11" s="16"/>
      <c r="M11" s="16"/>
      <c r="O11" s="12" t="s">
        <v>28</v>
      </c>
      <c r="P11" s="13">
        <f>VLOOKUP(O11,'[2]2026月度数据对比'!$O$3:$P$18,2,FALSE)</f>
        <v>0.1</v>
      </c>
      <c r="Q11" s="13">
        <f>VLOOKUP(O11,'[2]2026月度数据对比'!$O$3:$Q$18,3,FALSE)</f>
        <v>0.25</v>
      </c>
      <c r="R11" s="13">
        <v>0.1</v>
      </c>
      <c r="S11" s="17">
        <v>0.1</v>
      </c>
      <c r="T11" s="17">
        <v>0.05</v>
      </c>
      <c r="U11" s="17"/>
      <c r="V11" s="17"/>
      <c r="W11" s="17"/>
      <c r="X11" s="17"/>
      <c r="Y11" s="17"/>
      <c r="Z11" s="17"/>
      <c r="AA11" s="17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16.899999999999999">
      <c r="A12" s="12" t="s">
        <v>29</v>
      </c>
      <c r="B12" s="12">
        <f>VLOOKUP(A12,'[2]2026月度数据对比'!$A$2:$B$18,2,FALSE)</f>
        <v>19</v>
      </c>
      <c r="C12" s="12">
        <f>VLOOKUP(A12,'[2]2026月度数据对比'!$A$3:$C$18,3,FALSE)</f>
        <v>5</v>
      </c>
      <c r="D12" s="12">
        <v>21</v>
      </c>
      <c r="E12" s="16">
        <v>22</v>
      </c>
      <c r="F12" s="16">
        <v>20</v>
      </c>
      <c r="G12" s="16"/>
      <c r="H12" s="16"/>
      <c r="I12" s="16"/>
      <c r="J12" s="16"/>
      <c r="K12" s="16"/>
      <c r="L12" s="16"/>
      <c r="M12" s="16"/>
      <c r="O12" s="12" t="s">
        <v>29</v>
      </c>
      <c r="P12" s="13">
        <f>VLOOKUP(O12,'[2]2026月度数据对比'!$O$3:$P$18,2,FALSE)</f>
        <v>0.1</v>
      </c>
      <c r="Q12" s="13">
        <f>VLOOKUP(O12,'[2]2026月度数据对比'!$O$3:$Q$18,3,FALSE)</f>
        <v>0.22</v>
      </c>
      <c r="R12" s="13">
        <v>0.10199999999999999</v>
      </c>
      <c r="S12" s="17">
        <v>0.16900000000000001</v>
      </c>
      <c r="T12" s="17">
        <v>0.17399999999999999</v>
      </c>
      <c r="U12" s="17"/>
      <c r="V12" s="17"/>
      <c r="W12" s="17"/>
      <c r="X12" s="17"/>
      <c r="Y12" s="17"/>
      <c r="Z12" s="17"/>
      <c r="AA12" s="17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16.899999999999999">
      <c r="A13" s="12" t="s">
        <v>30</v>
      </c>
      <c r="B13" s="12">
        <f>VLOOKUP(A13,'[2]2026月度数据对比'!$A$2:$B$18,2,FALSE)</f>
        <v>12</v>
      </c>
      <c r="C13" s="12">
        <f>VLOOKUP(A13,'[2]2026月度数据对比'!$A$3:$C$18,3,FALSE)</f>
        <v>11</v>
      </c>
      <c r="D13" s="12">
        <v>24</v>
      </c>
      <c r="E13" s="16">
        <v>35</v>
      </c>
      <c r="F13" s="16">
        <v>22</v>
      </c>
      <c r="G13" s="16"/>
      <c r="H13" s="16"/>
      <c r="I13" s="16"/>
      <c r="J13" s="16"/>
      <c r="K13" s="16"/>
      <c r="L13" s="16"/>
      <c r="M13" s="16"/>
      <c r="O13" s="12" t="s">
        <v>30</v>
      </c>
      <c r="P13" s="13">
        <f>VLOOKUP(O13,'[2]2026月度数据对比'!$O$3:$P$18,2,FALSE)</f>
        <v>0.17</v>
      </c>
      <c r="Q13" s="13">
        <f>VLOOKUP(O13,'[2]2026月度数据对比'!$O$3:$Q$18,3,FALSE)</f>
        <v>0.33</v>
      </c>
      <c r="R13" s="13">
        <v>0.2</v>
      </c>
      <c r="S13" s="17">
        <v>0.2</v>
      </c>
      <c r="T13" s="17">
        <v>0.2</v>
      </c>
      <c r="U13" s="17"/>
      <c r="V13" s="17"/>
      <c r="W13" s="17"/>
      <c r="X13" s="17"/>
      <c r="Y13" s="17"/>
      <c r="Z13" s="17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16.899999999999999">
      <c r="A14" s="12" t="s">
        <v>31</v>
      </c>
      <c r="B14" s="12">
        <f>VLOOKUP(A14,'[2]2026月度数据对比'!$A$2:$B$18,2,FALSE)</f>
        <v>11</v>
      </c>
      <c r="C14" s="12">
        <f>VLOOKUP(A14,'[2]2026月度数据对比'!$A$3:$C$18,3,FALSE)</f>
        <v>4</v>
      </c>
      <c r="D14" s="12">
        <v>13</v>
      </c>
      <c r="E14" s="16">
        <v>5</v>
      </c>
      <c r="F14" s="16">
        <v>4</v>
      </c>
      <c r="G14" s="16"/>
      <c r="H14" s="16"/>
      <c r="I14" s="16"/>
      <c r="J14" s="16"/>
      <c r="K14" s="16"/>
      <c r="L14" s="16"/>
      <c r="M14" s="20"/>
      <c r="O14" s="12" t="s">
        <v>31</v>
      </c>
      <c r="P14" s="13">
        <f>VLOOKUP(O14,'[2]2026月度数据对比'!$O$3:$P$18,2,FALSE)</f>
        <v>0.26</v>
      </c>
      <c r="Q14" s="13">
        <f>VLOOKUP(O14,'[2]2026月度数据对比'!$O$3:$Q$18,3,FALSE)</f>
        <v>0.25</v>
      </c>
      <c r="R14" s="13">
        <v>0.13</v>
      </c>
      <c r="S14" s="17">
        <v>6.2E-2</v>
      </c>
      <c r="T14" s="21">
        <v>8.4000000000000005E-2</v>
      </c>
      <c r="U14" s="20"/>
      <c r="V14" s="20"/>
      <c r="W14" s="20"/>
      <c r="X14" s="20"/>
      <c r="Y14" s="20"/>
      <c r="Z14" s="20"/>
      <c r="AA14" s="20"/>
    </row>
    <row r="15" spans="1:39" ht="16.899999999999999">
      <c r="A15" s="12" t="s">
        <v>32</v>
      </c>
      <c r="B15" s="12">
        <f>VLOOKUP(A15,'[2]2026月度数据对比'!$A$2:$B$18,2,FALSE)</f>
        <v>4</v>
      </c>
      <c r="C15" s="12">
        <f>VLOOKUP(A15,'[2]2026月度数据对比'!$A$3:$C$18,3,FALSE)</f>
        <v>2</v>
      </c>
      <c r="D15" s="12">
        <v>4</v>
      </c>
      <c r="E15" s="16">
        <v>11</v>
      </c>
      <c r="F15" s="16">
        <v>4</v>
      </c>
      <c r="G15" s="16"/>
      <c r="H15" s="16"/>
      <c r="I15" s="16"/>
      <c r="J15" s="16"/>
      <c r="K15" s="16"/>
      <c r="L15" s="16"/>
      <c r="M15" s="20"/>
      <c r="O15" s="12" t="s">
        <v>32</v>
      </c>
      <c r="P15" s="13">
        <f>VLOOKUP(O15,'[2]2026月度数据对比'!$O$3:$P$18,2,FALSE)</f>
        <v>0.22</v>
      </c>
      <c r="Q15" s="13">
        <f>VLOOKUP(O15,'[2]2026月度数据对比'!$O$3:$Q$18,3,FALSE)</f>
        <v>0.18</v>
      </c>
      <c r="R15" s="13">
        <v>0.28999999999999998</v>
      </c>
      <c r="S15" s="17">
        <v>0.15</v>
      </c>
      <c r="T15" s="17">
        <v>0</v>
      </c>
      <c r="U15" s="20"/>
      <c r="V15" s="20"/>
      <c r="W15" s="20"/>
      <c r="X15" s="20"/>
      <c r="Y15" s="20"/>
      <c r="Z15" s="20"/>
      <c r="AA15" s="20"/>
    </row>
    <row r="16" spans="1:39" ht="16.899999999999999">
      <c r="A16" s="12" t="s">
        <v>33</v>
      </c>
      <c r="B16" s="12">
        <f>VLOOKUP(A16,'[2]2026月度数据对比'!$A$2:$B$18,2,FALSE)</f>
        <v>6</v>
      </c>
      <c r="C16" s="12">
        <f>VLOOKUP(A16,'[2]2026月度数据对比'!$A$3:$C$18,3,FALSE)</f>
        <v>3</v>
      </c>
      <c r="D16" s="12">
        <v>5</v>
      </c>
      <c r="E16" s="16">
        <v>3</v>
      </c>
      <c r="F16" s="16">
        <v>1</v>
      </c>
      <c r="G16" s="16"/>
      <c r="H16" s="16"/>
      <c r="I16" s="16"/>
      <c r="J16" s="16"/>
      <c r="K16" s="16"/>
      <c r="L16" s="16"/>
      <c r="M16" s="20"/>
      <c r="O16" s="12" t="s">
        <v>33</v>
      </c>
      <c r="P16" s="13">
        <f>VLOOKUP(O16,'[2]2026月度数据对比'!$O$3:$P$18,2,FALSE)</f>
        <v>0.1</v>
      </c>
      <c r="Q16" s="13">
        <f>VLOOKUP(O16,'[2]2026月度数据对比'!$O$3:$Q$18,3,FALSE)</f>
        <v>0</v>
      </c>
      <c r="R16" s="22">
        <v>0.11</v>
      </c>
      <c r="S16" s="17">
        <v>6.7000000000000004E-2</v>
      </c>
      <c r="T16" s="17">
        <v>0</v>
      </c>
      <c r="U16" s="20"/>
      <c r="V16" s="20"/>
      <c r="W16" s="20"/>
      <c r="X16" s="20"/>
      <c r="Y16" s="20"/>
      <c r="Z16" s="20"/>
      <c r="AA16" s="20"/>
    </row>
    <row r="17" spans="1:41" ht="16.899999999999999">
      <c r="A17" s="12" t="s">
        <v>34</v>
      </c>
      <c r="B17" s="12">
        <f>VLOOKUP(A17,'[2]2026月度数据对比'!$A$2:$B$18,2,FALSE)</f>
        <v>0</v>
      </c>
      <c r="C17" s="12">
        <f>VLOOKUP(A17,'[2]2026月度数据对比'!$A$3:$C$18,3,FALSE)</f>
        <v>0</v>
      </c>
      <c r="D17" s="12">
        <v>0</v>
      </c>
      <c r="E17" s="16">
        <v>0</v>
      </c>
      <c r="F17" s="16">
        <v>0</v>
      </c>
      <c r="G17" s="16"/>
      <c r="H17" s="16"/>
      <c r="I17" s="16"/>
      <c r="J17" s="16"/>
      <c r="K17" s="16"/>
      <c r="L17" s="16"/>
      <c r="M17" s="20"/>
      <c r="O17" s="12" t="s">
        <v>34</v>
      </c>
      <c r="P17" s="13">
        <f>VLOOKUP(O17,'[2]2026月度数据对比'!$O$3:$P$18,2,FALSE)</f>
        <v>0</v>
      </c>
      <c r="Q17" s="13">
        <f>VLOOKUP(O17,'[2]2026月度数据对比'!$O$3:$Q$18,3,FALSE)</f>
        <v>0</v>
      </c>
      <c r="R17" s="13">
        <v>0</v>
      </c>
      <c r="S17" s="17">
        <v>0</v>
      </c>
      <c r="T17" s="17">
        <v>0</v>
      </c>
      <c r="U17" s="20"/>
      <c r="V17" s="20"/>
      <c r="W17" s="20"/>
      <c r="X17" s="20"/>
      <c r="Y17" s="20"/>
      <c r="Z17" s="20"/>
      <c r="AA17" s="20"/>
    </row>
    <row r="18" spans="1:41" ht="16.899999999999999">
      <c r="A18" s="12" t="s">
        <v>35</v>
      </c>
      <c r="B18" s="12">
        <f>VLOOKUP(A18,'[2]2026月度数据对比'!$A$2:$B$18,2,FALSE)</f>
        <v>0</v>
      </c>
      <c r="C18" s="12">
        <f>VLOOKUP(A18,'[2]2026月度数据对比'!$A$3:$C$18,3,FALSE)</f>
        <v>2</v>
      </c>
      <c r="D18" s="12">
        <v>2</v>
      </c>
      <c r="E18" s="16">
        <v>13</v>
      </c>
      <c r="F18" s="16">
        <v>0</v>
      </c>
      <c r="G18" s="16"/>
      <c r="H18" s="16"/>
      <c r="I18" s="16"/>
      <c r="J18" s="16"/>
      <c r="K18" s="16"/>
      <c r="L18" s="16"/>
      <c r="M18" s="20"/>
      <c r="O18" s="12" t="s">
        <v>35</v>
      </c>
      <c r="P18" s="13">
        <f>VLOOKUP(O18,'[2]2026月度数据对比'!$O$3:$P$18,2,FALSE)</f>
        <v>0</v>
      </c>
      <c r="Q18" s="13">
        <f>VLOOKUP(O18,'[2]2026月度数据对比'!$O$3:$Q$18,3,FALSE)</f>
        <v>0.25</v>
      </c>
      <c r="R18" s="22">
        <v>0.23</v>
      </c>
      <c r="S18" s="17">
        <v>0.06</v>
      </c>
      <c r="T18" s="21">
        <v>0</v>
      </c>
      <c r="U18" s="20"/>
      <c r="V18" s="20"/>
      <c r="W18" s="20"/>
      <c r="X18" s="20"/>
      <c r="Y18" s="20"/>
      <c r="Z18" s="20"/>
      <c r="AA18" s="20"/>
    </row>
    <row r="19" spans="1:41" ht="16.899999999999999">
      <c r="A19" s="12" t="s">
        <v>36</v>
      </c>
      <c r="B19" s="12">
        <f>VLOOKUP(A19,'[2]2026月度数据对比'!$A$2:$B$18,2,FALSE)</f>
        <v>1</v>
      </c>
      <c r="C19" s="12">
        <f>VLOOKUP(A19,'[2]2026月度数据对比'!$A$3:$C$18,3,FALSE)</f>
        <v>0</v>
      </c>
      <c r="D19" s="12">
        <v>4</v>
      </c>
      <c r="E19" s="16">
        <v>7</v>
      </c>
      <c r="F19" s="16">
        <v>4</v>
      </c>
      <c r="G19" s="16"/>
      <c r="H19" s="16"/>
      <c r="I19" s="16"/>
      <c r="J19" s="16"/>
      <c r="K19" s="16"/>
      <c r="L19" s="16"/>
      <c r="M19" s="20"/>
      <c r="O19" s="12" t="s">
        <v>36</v>
      </c>
      <c r="P19" s="13">
        <f>VLOOKUP(O19,'[2]2026月度数据对比'!$O$3:$P$18,2,FALSE)</f>
        <v>0.1</v>
      </c>
      <c r="Q19" s="13">
        <f>VLOOKUP(O19,'[2]2026月度数据对比'!$O$3:$Q$18,3,FALSE)</f>
        <v>0</v>
      </c>
      <c r="R19" s="13">
        <v>0.2</v>
      </c>
      <c r="S19" s="17">
        <v>4.2999999999999997E-2</v>
      </c>
      <c r="T19" s="17">
        <v>0.20699999999999999</v>
      </c>
      <c r="U19" s="20"/>
      <c r="V19" s="20"/>
      <c r="W19" s="20"/>
      <c r="X19" s="20"/>
      <c r="Y19" s="20"/>
      <c r="Z19" s="20"/>
      <c r="AA19" s="20"/>
    </row>
    <row r="20" spans="1:41" ht="16.899999999999999">
      <c r="A20" s="12" t="s">
        <v>37</v>
      </c>
      <c r="B20" s="12"/>
      <c r="C20" s="12"/>
      <c r="D20" s="12"/>
      <c r="E20" s="16"/>
      <c r="F20" s="16">
        <v>0</v>
      </c>
      <c r="G20" s="16"/>
      <c r="H20" s="16"/>
      <c r="I20" s="16"/>
      <c r="J20" s="16"/>
      <c r="K20" s="16"/>
      <c r="L20" s="16"/>
      <c r="M20" s="20"/>
      <c r="O20" s="12" t="s">
        <v>37</v>
      </c>
      <c r="P20" s="17"/>
      <c r="Q20" s="17"/>
      <c r="R20" s="17"/>
      <c r="S20" s="17"/>
      <c r="T20" s="21">
        <v>0</v>
      </c>
      <c r="U20" s="20"/>
      <c r="V20" s="20"/>
      <c r="W20" s="20"/>
      <c r="X20" s="20"/>
      <c r="Y20" s="20"/>
      <c r="Z20" s="20"/>
      <c r="AA20" s="20"/>
    </row>
    <row r="22" spans="1:41" ht="25.5">
      <c r="A22" s="264" t="s">
        <v>114</v>
      </c>
      <c r="B22" s="264"/>
      <c r="C22" s="264"/>
      <c r="D22" s="264"/>
      <c r="E22" s="264"/>
      <c r="F22" s="264"/>
      <c r="G22" s="264"/>
      <c r="H22" s="264"/>
      <c r="I22" s="264"/>
      <c r="J22" s="264"/>
      <c r="K22" s="264"/>
      <c r="L22" s="264"/>
      <c r="M22" s="264"/>
      <c r="O22" s="265" t="s">
        <v>115</v>
      </c>
      <c r="P22" s="264"/>
      <c r="Q22" s="264"/>
      <c r="R22" s="264"/>
      <c r="S22" s="264"/>
      <c r="T22" s="264"/>
      <c r="U22" s="264"/>
      <c r="V22" s="264"/>
      <c r="W22" s="264"/>
      <c r="X22" s="264"/>
      <c r="Y22" s="7"/>
      <c r="Z22" s="7"/>
      <c r="AA22" s="7"/>
      <c r="AB22" s="7"/>
      <c r="AC22" s="264"/>
      <c r="AD22" s="264"/>
      <c r="AE22" s="264"/>
      <c r="AF22" s="264"/>
      <c r="AG22" s="264"/>
      <c r="AH22" s="264"/>
      <c r="AI22" s="264"/>
      <c r="AJ22" s="264"/>
      <c r="AK22" s="264"/>
      <c r="AL22" s="264"/>
      <c r="AM22" s="7"/>
    </row>
    <row r="23" spans="1:41" ht="16.899999999999999">
      <c r="A23" s="8" t="s">
        <v>101</v>
      </c>
      <c r="B23" s="8" t="s">
        <v>102</v>
      </c>
      <c r="C23" s="9" t="s">
        <v>103</v>
      </c>
      <c r="D23" s="9" t="s">
        <v>104</v>
      </c>
      <c r="E23" s="10" t="s">
        <v>105</v>
      </c>
      <c r="F23" s="10" t="s">
        <v>106</v>
      </c>
      <c r="G23" s="10" t="s">
        <v>107</v>
      </c>
      <c r="H23" s="10" t="s">
        <v>108</v>
      </c>
      <c r="I23" s="10" t="s">
        <v>109</v>
      </c>
      <c r="J23" s="10" t="s">
        <v>110</v>
      </c>
      <c r="K23" s="10" t="s">
        <v>111</v>
      </c>
      <c r="L23" s="10" t="s">
        <v>112</v>
      </c>
      <c r="M23" s="10" t="s">
        <v>113</v>
      </c>
      <c r="O23" s="8" t="s">
        <v>101</v>
      </c>
      <c r="P23" s="8" t="s">
        <v>102</v>
      </c>
      <c r="Q23" s="9" t="s">
        <v>103</v>
      </c>
      <c r="R23" s="9" t="s">
        <v>104</v>
      </c>
      <c r="S23" s="10" t="s">
        <v>105</v>
      </c>
      <c r="T23" s="10" t="s">
        <v>106</v>
      </c>
      <c r="U23" s="10" t="s">
        <v>107</v>
      </c>
      <c r="V23" s="10" t="s">
        <v>108</v>
      </c>
      <c r="W23" s="10" t="s">
        <v>109</v>
      </c>
      <c r="X23" s="10" t="s">
        <v>110</v>
      </c>
      <c r="Y23" s="10" t="s">
        <v>111</v>
      </c>
      <c r="Z23" s="10" t="s">
        <v>112</v>
      </c>
      <c r="AA23" s="10" t="s">
        <v>113</v>
      </c>
      <c r="AB23" s="23"/>
      <c r="AC23" s="8" t="s">
        <v>101</v>
      </c>
      <c r="AD23" s="8" t="s">
        <v>102</v>
      </c>
      <c r="AE23" s="9" t="s">
        <v>103</v>
      </c>
      <c r="AF23" s="9" t="s">
        <v>104</v>
      </c>
      <c r="AG23" s="10" t="s">
        <v>105</v>
      </c>
      <c r="AH23" s="10" t="s">
        <v>106</v>
      </c>
      <c r="AI23" s="10" t="s">
        <v>107</v>
      </c>
      <c r="AJ23" s="10" t="s">
        <v>108</v>
      </c>
      <c r="AK23" s="10" t="s">
        <v>109</v>
      </c>
      <c r="AL23" s="10" t="s">
        <v>110</v>
      </c>
      <c r="AM23" s="10" t="s">
        <v>111</v>
      </c>
      <c r="AN23" s="10" t="s">
        <v>112</v>
      </c>
      <c r="AO23" s="10" t="s">
        <v>113</v>
      </c>
    </row>
    <row r="24" spans="1:41" ht="16.899999999999999">
      <c r="A24" s="12" t="s">
        <v>20</v>
      </c>
      <c r="B24" s="12">
        <f>VLOOKUP(A24,'[2]2026月度数据对比'!$A$23:$B$38,2,FALSE)</f>
        <v>3099</v>
      </c>
      <c r="C24" s="12">
        <f>VLOOKUP(A24,'[2]2026月度数据对比'!$A$23:$C$38,3,FALSE)</f>
        <v>1529</v>
      </c>
      <c r="D24" s="12">
        <v>1277</v>
      </c>
      <c r="E24" s="12">
        <v>731</v>
      </c>
      <c r="F24" s="12">
        <v>855</v>
      </c>
      <c r="G24" s="16"/>
      <c r="H24" s="16"/>
      <c r="I24" s="16"/>
      <c r="J24" s="16"/>
      <c r="K24" s="16"/>
      <c r="L24" s="16"/>
      <c r="M24" s="16"/>
      <c r="O24" s="12" t="s">
        <v>20</v>
      </c>
      <c r="P24" s="12">
        <f>VLOOKUP(O24,'[2]2026月度数据对比'!$O$23:$P$38,2,FALSE)</f>
        <v>77</v>
      </c>
      <c r="Q24" s="12">
        <f>VLOOKUP(O24,'[2]2026月度数据对比'!$O$23:$Q$38,3,FALSE)</f>
        <v>22</v>
      </c>
      <c r="R24" s="12">
        <v>29</v>
      </c>
      <c r="S24" s="12">
        <v>22</v>
      </c>
      <c r="T24" s="12">
        <v>20</v>
      </c>
      <c r="U24" s="12"/>
      <c r="V24" s="12"/>
      <c r="W24" s="12"/>
      <c r="X24" s="12"/>
      <c r="Y24" s="12"/>
      <c r="Z24" s="12"/>
      <c r="AA24" s="12"/>
      <c r="AB24" s="23"/>
      <c r="AC24" s="12" t="s">
        <v>20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</row>
    <row r="25" spans="1:41" ht="16.899999999999999">
      <c r="A25" s="12" t="s">
        <v>21</v>
      </c>
      <c r="B25" s="12">
        <v>869</v>
      </c>
      <c r="C25" s="12">
        <v>495</v>
      </c>
      <c r="D25" s="12">
        <v>1446</v>
      </c>
      <c r="E25" s="12">
        <v>1054</v>
      </c>
      <c r="F25" s="12">
        <v>1095</v>
      </c>
      <c r="G25" s="16"/>
      <c r="H25" s="16"/>
      <c r="I25" s="16"/>
      <c r="J25" s="16"/>
      <c r="K25" s="16"/>
      <c r="L25" s="16"/>
      <c r="M25" s="16"/>
      <c r="O25" s="12" t="s">
        <v>21</v>
      </c>
      <c r="P25" s="12">
        <v>25</v>
      </c>
      <c r="Q25" s="12">
        <v>13</v>
      </c>
      <c r="R25" s="12">
        <v>26</v>
      </c>
      <c r="S25" s="12">
        <v>51</v>
      </c>
      <c r="T25" s="12">
        <v>31</v>
      </c>
      <c r="U25" s="12"/>
      <c r="V25" s="12"/>
      <c r="W25" s="12"/>
      <c r="X25" s="12"/>
      <c r="Y25" s="12"/>
      <c r="Z25" s="12"/>
      <c r="AA25" s="12"/>
      <c r="AB25" s="23"/>
      <c r="AC25" s="12" t="s">
        <v>21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</row>
    <row r="26" spans="1:41" ht="16.899999999999999">
      <c r="A26" s="12" t="s">
        <v>22</v>
      </c>
      <c r="B26" s="12">
        <f>VLOOKUP(A26,'[2]2026月度数据对比'!$A$23:$B$38,2,FALSE)</f>
        <v>1160</v>
      </c>
      <c r="C26" s="12">
        <f>VLOOKUP(A26,'[2]2026月度数据对比'!$A$23:$C$38,3,FALSE)</f>
        <v>681</v>
      </c>
      <c r="D26" s="12">
        <v>902</v>
      </c>
      <c r="E26" s="12">
        <v>1112</v>
      </c>
      <c r="F26" s="12">
        <v>606</v>
      </c>
      <c r="G26" s="16"/>
      <c r="H26" s="16"/>
      <c r="I26" s="16"/>
      <c r="J26" s="16"/>
      <c r="K26" s="16"/>
      <c r="L26" s="16"/>
      <c r="M26" s="16"/>
      <c r="O26" s="12" t="s">
        <v>22</v>
      </c>
      <c r="P26" s="12">
        <f>VLOOKUP(O26,'[2]2026月度数据对比'!$O$23:$P$38,2,FALSE)</f>
        <v>27</v>
      </c>
      <c r="Q26" s="12">
        <f>VLOOKUP(O26,'[2]2026月度数据对比'!$O$23:$Q$38,3,FALSE)</f>
        <v>21</v>
      </c>
      <c r="R26" s="12">
        <v>31</v>
      </c>
      <c r="S26" s="12">
        <v>60</v>
      </c>
      <c r="T26" s="12">
        <v>28</v>
      </c>
      <c r="U26" s="12"/>
      <c r="V26" s="12"/>
      <c r="W26" s="12"/>
      <c r="X26" s="12"/>
      <c r="Y26" s="12"/>
      <c r="Z26" s="12"/>
      <c r="AA26" s="12"/>
      <c r="AB26" s="23"/>
      <c r="AC26" s="12" t="s">
        <v>22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</row>
    <row r="27" spans="1:41" ht="16.899999999999999">
      <c r="A27" s="12" t="s">
        <v>23</v>
      </c>
      <c r="B27" s="12">
        <f>VLOOKUP(A27,'[2]2026月度数据对比'!$A$23:$B$38,2,FALSE)</f>
        <v>579</v>
      </c>
      <c r="C27" s="12">
        <f>VLOOKUP(A27,'[2]2026月度数据对比'!$A$23:$C$38,3,FALSE)</f>
        <v>302</v>
      </c>
      <c r="D27" s="12">
        <v>870</v>
      </c>
      <c r="E27" s="12">
        <v>557</v>
      </c>
      <c r="F27" s="12">
        <v>504</v>
      </c>
      <c r="G27" s="16"/>
      <c r="H27" s="16"/>
      <c r="I27" s="16"/>
      <c r="J27" s="16"/>
      <c r="K27" s="16"/>
      <c r="L27" s="16"/>
      <c r="M27" s="16"/>
      <c r="O27" s="12" t="s">
        <v>23</v>
      </c>
      <c r="P27" s="12">
        <f>VLOOKUP(O27,'[2]2026月度数据对比'!$O$23:$P$38,2,FALSE)</f>
        <v>22</v>
      </c>
      <c r="Q27" s="12">
        <f>VLOOKUP(O27,'[2]2026月度数据对比'!$O$23:$Q$38,3,FALSE)</f>
        <v>8</v>
      </c>
      <c r="R27" s="12">
        <v>27</v>
      </c>
      <c r="S27" s="12">
        <v>12</v>
      </c>
      <c r="T27" s="12">
        <v>24</v>
      </c>
      <c r="U27" s="12"/>
      <c r="V27" s="12"/>
      <c r="W27" s="12"/>
      <c r="X27" s="12"/>
      <c r="Y27" s="12"/>
      <c r="Z27" s="12"/>
      <c r="AA27" s="12"/>
      <c r="AB27" s="23"/>
      <c r="AC27" s="12" t="s">
        <v>23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</row>
    <row r="28" spans="1:41" ht="16.899999999999999">
      <c r="A28" s="12" t="s">
        <v>24</v>
      </c>
      <c r="B28" s="12">
        <f>VLOOKUP(A28,'[2]2026月度数据对比'!$A$23:$B$38,2,FALSE)</f>
        <v>68</v>
      </c>
      <c r="C28" s="12">
        <f>VLOOKUP(A28,'[2]2026月度数据对比'!$A$23:$C$38,3,FALSE)</f>
        <v>369</v>
      </c>
      <c r="D28" s="12">
        <v>345</v>
      </c>
      <c r="E28" s="12">
        <v>384</v>
      </c>
      <c r="F28" s="12">
        <v>347</v>
      </c>
      <c r="G28" s="16"/>
      <c r="H28" s="16"/>
      <c r="I28" s="16"/>
      <c r="J28" s="16"/>
      <c r="K28" s="16"/>
      <c r="L28" s="16"/>
      <c r="M28" s="16"/>
      <c r="O28" s="12" t="s">
        <v>24</v>
      </c>
      <c r="P28" s="12">
        <f>VLOOKUP(O28,'[2]2026月度数据对比'!$O$23:$P$38,2,FALSE)</f>
        <v>10</v>
      </c>
      <c r="Q28" s="12">
        <f>VLOOKUP(O28,'[2]2026月度数据对比'!$O$23:$Q$38,3,FALSE)</f>
        <v>16</v>
      </c>
      <c r="R28" s="12">
        <v>18</v>
      </c>
      <c r="S28" s="12">
        <v>25</v>
      </c>
      <c r="T28" s="12">
        <v>27</v>
      </c>
      <c r="U28" s="12"/>
      <c r="V28" s="12"/>
      <c r="W28" s="12"/>
      <c r="X28" s="12"/>
      <c r="Y28" s="12"/>
      <c r="Z28" s="12"/>
      <c r="AA28" s="12"/>
      <c r="AB28" s="23"/>
      <c r="AC28" s="12" t="s">
        <v>24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</row>
    <row r="29" spans="1:41" ht="16.899999999999999">
      <c r="A29" s="12" t="s">
        <v>25</v>
      </c>
      <c r="B29" s="12">
        <f>VLOOKUP(A29,'[2]2026月度数据对比'!$A$23:$B$38,2,FALSE)</f>
        <v>683</v>
      </c>
      <c r="C29" s="12">
        <f>VLOOKUP(A29,'[2]2026月度数据对比'!$A$23:$C$38,3,FALSE)</f>
        <v>765</v>
      </c>
      <c r="D29" s="12">
        <v>867</v>
      </c>
      <c r="E29" s="16">
        <v>593</v>
      </c>
      <c r="F29" s="16">
        <v>410</v>
      </c>
      <c r="G29" s="16"/>
      <c r="H29" s="16"/>
      <c r="I29" s="16"/>
      <c r="J29" s="16"/>
      <c r="K29" s="16"/>
      <c r="L29" s="16"/>
      <c r="M29" s="16"/>
      <c r="O29" s="12" t="s">
        <v>25</v>
      </c>
      <c r="P29" s="12">
        <f>VLOOKUP(O29,'[2]2026月度数据对比'!$O$23:$P$38,2,FALSE)</f>
        <v>41</v>
      </c>
      <c r="Q29" s="12">
        <f>VLOOKUP(O29,'[2]2026月度数据对比'!$O$23:$Q$38,3,FALSE)</f>
        <v>29</v>
      </c>
      <c r="R29" s="12">
        <v>50</v>
      </c>
      <c r="S29" s="16">
        <v>28</v>
      </c>
      <c r="T29" s="16">
        <v>32</v>
      </c>
      <c r="U29" s="16"/>
      <c r="V29" s="16"/>
      <c r="W29" s="16"/>
      <c r="X29" s="16"/>
      <c r="Y29" s="16"/>
      <c r="Z29" s="16"/>
      <c r="AA29" s="16"/>
      <c r="AB29" s="24"/>
      <c r="AC29" s="12" t="s">
        <v>25</v>
      </c>
      <c r="AD29" s="21"/>
      <c r="AE29" s="22"/>
      <c r="AF29" s="22"/>
      <c r="AG29" s="22"/>
      <c r="AH29" s="22"/>
      <c r="AI29" s="22"/>
      <c r="AJ29" s="22"/>
      <c r="AK29" s="22"/>
      <c r="AL29" s="22"/>
      <c r="AM29" s="22"/>
      <c r="AN29" s="21"/>
      <c r="AO29" s="21"/>
    </row>
    <row r="30" spans="1:41" ht="16.899999999999999">
      <c r="A30" s="12" t="s">
        <v>26</v>
      </c>
      <c r="B30" s="12">
        <f>VLOOKUP(A30,'[2]2026月度数据对比'!$A$23:$B$38,2,FALSE)</f>
        <v>502</v>
      </c>
      <c r="C30" s="12">
        <f>VLOOKUP(A30,'[2]2026月度数据对比'!$A$23:$C$38,3,FALSE)</f>
        <v>181</v>
      </c>
      <c r="D30" s="12">
        <v>394</v>
      </c>
      <c r="E30" s="16">
        <v>316</v>
      </c>
      <c r="F30" s="16">
        <v>261</v>
      </c>
      <c r="G30" s="16"/>
      <c r="H30" s="16"/>
      <c r="I30" s="16"/>
      <c r="J30" s="16"/>
      <c r="K30" s="16"/>
      <c r="L30" s="16"/>
      <c r="M30" s="16"/>
      <c r="O30" s="12" t="s">
        <v>26</v>
      </c>
      <c r="P30" s="12">
        <f>VLOOKUP(O30,'[2]2026月度数据对比'!$O$23:$P$38,2,FALSE)</f>
        <v>76</v>
      </c>
      <c r="Q30" s="12">
        <f>VLOOKUP(O30,'[2]2026月度数据对比'!$O$23:$Q$38,3,FALSE)</f>
        <v>27</v>
      </c>
      <c r="R30" s="12">
        <v>52</v>
      </c>
      <c r="S30" s="16">
        <v>35</v>
      </c>
      <c r="T30" s="16">
        <v>41</v>
      </c>
      <c r="U30" s="16"/>
      <c r="V30" s="16"/>
      <c r="W30" s="16"/>
      <c r="X30" s="16"/>
      <c r="Y30" s="16"/>
      <c r="Z30" s="16"/>
      <c r="AA30" s="16"/>
      <c r="AB30" s="24"/>
      <c r="AC30" s="12" t="s">
        <v>26</v>
      </c>
      <c r="AD30" s="21"/>
      <c r="AE30" s="22"/>
      <c r="AF30" s="22"/>
      <c r="AG30" s="22"/>
      <c r="AH30" s="22"/>
      <c r="AI30" s="22"/>
      <c r="AJ30" s="22"/>
      <c r="AK30" s="22"/>
      <c r="AL30" s="22"/>
      <c r="AM30" s="22"/>
      <c r="AN30" s="21"/>
      <c r="AO30" s="21"/>
    </row>
    <row r="31" spans="1:41" ht="16.899999999999999">
      <c r="A31" s="12" t="s">
        <v>27</v>
      </c>
      <c r="B31" s="12"/>
      <c r="C31" s="12"/>
      <c r="D31" s="12">
        <v>461</v>
      </c>
      <c r="E31" s="16">
        <v>497</v>
      </c>
      <c r="F31" s="16">
        <v>452</v>
      </c>
      <c r="G31" s="16"/>
      <c r="H31" s="16"/>
      <c r="I31" s="16"/>
      <c r="J31" s="16"/>
      <c r="K31" s="16"/>
      <c r="L31" s="16"/>
      <c r="M31" s="16"/>
      <c r="O31" s="12" t="s">
        <v>27</v>
      </c>
      <c r="P31" s="12"/>
      <c r="Q31" s="12"/>
      <c r="R31" s="12">
        <v>41</v>
      </c>
      <c r="S31" s="16">
        <v>4</v>
      </c>
      <c r="T31" s="16">
        <v>25</v>
      </c>
      <c r="U31" s="16"/>
      <c r="V31" s="16"/>
      <c r="W31" s="16"/>
      <c r="X31" s="16"/>
      <c r="Y31" s="16"/>
      <c r="Z31" s="16"/>
      <c r="AA31" s="16"/>
      <c r="AB31" s="24"/>
      <c r="AC31" s="12" t="s">
        <v>27</v>
      </c>
      <c r="AD31" s="21"/>
      <c r="AE31" s="22"/>
      <c r="AF31" s="22"/>
      <c r="AG31" s="22"/>
      <c r="AH31" s="22"/>
      <c r="AI31" s="22"/>
      <c r="AJ31" s="22"/>
      <c r="AK31" s="22"/>
      <c r="AL31" s="22"/>
      <c r="AM31" s="22"/>
      <c r="AN31" s="21"/>
      <c r="AO31" s="21"/>
    </row>
    <row r="32" spans="1:41" ht="16.899999999999999">
      <c r="A32" s="12" t="s">
        <v>28</v>
      </c>
      <c r="B32" s="12">
        <f>VLOOKUP(A32,'[2]2026月度数据对比'!$A$23:$B$38,2,FALSE)</f>
        <v>343</v>
      </c>
      <c r="C32" s="12">
        <f>VLOOKUP(A32,'[2]2026月度数据对比'!$A$23:$C$38,3,FALSE)</f>
        <v>351</v>
      </c>
      <c r="D32" s="12">
        <v>471</v>
      </c>
      <c r="E32" s="16">
        <v>324</v>
      </c>
      <c r="F32" s="16">
        <v>171</v>
      </c>
      <c r="G32" s="16"/>
      <c r="H32" s="16"/>
      <c r="I32" s="16"/>
      <c r="J32" s="16"/>
      <c r="K32" s="16"/>
      <c r="L32" s="16"/>
      <c r="M32" s="16"/>
      <c r="O32" s="12" t="s">
        <v>28</v>
      </c>
      <c r="P32" s="12">
        <f>VLOOKUP(O32,'[2]2026月度数据对比'!$O$23:$P$38,2,FALSE)</f>
        <v>17</v>
      </c>
      <c r="Q32" s="12">
        <f>VLOOKUP(O32,'[2]2026月度数据对比'!$O$23:$Q$38,3,FALSE)</f>
        <v>9</v>
      </c>
      <c r="R32" s="12">
        <v>22</v>
      </c>
      <c r="S32" s="16">
        <v>2</v>
      </c>
      <c r="T32" s="16">
        <v>12</v>
      </c>
      <c r="U32" s="16"/>
      <c r="V32" s="16"/>
      <c r="W32" s="16"/>
      <c r="X32" s="16"/>
      <c r="Y32" s="16"/>
      <c r="Z32" s="16"/>
      <c r="AA32" s="16"/>
      <c r="AB32" s="24"/>
      <c r="AC32" s="12" t="s">
        <v>28</v>
      </c>
      <c r="AD32" s="21"/>
      <c r="AE32" s="22"/>
      <c r="AF32" s="22"/>
      <c r="AG32" s="22"/>
      <c r="AH32" s="22"/>
      <c r="AI32" s="22"/>
      <c r="AJ32" s="22"/>
      <c r="AK32" s="22"/>
      <c r="AL32" s="22"/>
      <c r="AM32" s="22"/>
      <c r="AN32" s="21"/>
      <c r="AO32" s="21"/>
    </row>
    <row r="33" spans="1:41" ht="16.899999999999999">
      <c r="A33" s="12" t="s">
        <v>29</v>
      </c>
      <c r="B33" s="12">
        <f>VLOOKUP(A33,'[2]2026月度数据对比'!$A$23:$B$38,2,FALSE)</f>
        <v>467</v>
      </c>
      <c r="C33" s="12">
        <f>VLOOKUP(A33,'[2]2026月度数据对比'!$A$23:$C$38,3,FALSE)</f>
        <v>671</v>
      </c>
      <c r="D33" s="12">
        <v>1074</v>
      </c>
      <c r="E33" s="16">
        <v>840</v>
      </c>
      <c r="F33" s="16">
        <v>1195</v>
      </c>
      <c r="G33" s="16"/>
      <c r="H33" s="16"/>
      <c r="I33" s="16"/>
      <c r="J33" s="16"/>
      <c r="K33" s="16"/>
      <c r="L33" s="16"/>
      <c r="M33" s="16"/>
      <c r="O33" s="12" t="s">
        <v>29</v>
      </c>
      <c r="P33" s="12">
        <f>VLOOKUP(O33,'[2]2026月度数据对比'!$O$23:$P$38,2,FALSE)</f>
        <v>99</v>
      </c>
      <c r="Q33" s="12">
        <f>VLOOKUP(O33,'[2]2026月度数据对比'!$O$23:$Q$38,3,FALSE)</f>
        <v>67</v>
      </c>
      <c r="R33" s="12">
        <v>91</v>
      </c>
      <c r="S33" s="16">
        <v>80</v>
      </c>
      <c r="T33" s="16">
        <v>65</v>
      </c>
      <c r="U33" s="16"/>
      <c r="V33" s="16"/>
      <c r="W33" s="16"/>
      <c r="X33" s="16"/>
      <c r="Y33" s="16"/>
      <c r="Z33" s="16"/>
      <c r="AA33" s="16"/>
      <c r="AB33" s="24"/>
      <c r="AC33" s="12" t="s">
        <v>29</v>
      </c>
      <c r="AD33" s="21"/>
      <c r="AE33" s="22"/>
      <c r="AF33" s="22"/>
      <c r="AG33" s="22"/>
      <c r="AH33" s="22"/>
      <c r="AI33" s="22"/>
      <c r="AJ33" s="22"/>
      <c r="AK33" s="22"/>
      <c r="AL33" s="22"/>
      <c r="AM33" s="22"/>
      <c r="AN33" s="21"/>
      <c r="AO33" s="21"/>
    </row>
    <row r="34" spans="1:41" ht="16.899999999999999">
      <c r="A34" s="12" t="s">
        <v>30</v>
      </c>
      <c r="B34" s="12">
        <f>VLOOKUP(A34,'[2]2026月度数据对比'!$A$23:$B$38,2,FALSE)</f>
        <v>593</v>
      </c>
      <c r="C34" s="12">
        <f>VLOOKUP(A34,'[2]2026月度数据对比'!$A$23:$C$38,3,FALSE)</f>
        <v>461</v>
      </c>
      <c r="D34" s="12">
        <v>1200</v>
      </c>
      <c r="E34" s="16">
        <v>1337</v>
      </c>
      <c r="F34" s="16">
        <v>1485</v>
      </c>
      <c r="G34" s="16"/>
      <c r="H34" s="16"/>
      <c r="I34" s="16"/>
      <c r="J34" s="16"/>
      <c r="K34" s="16"/>
      <c r="L34" s="16"/>
      <c r="M34" s="16"/>
      <c r="O34" s="12" t="s">
        <v>30</v>
      </c>
      <c r="P34" s="12">
        <f>VLOOKUP(O34,'[2]2026月度数据对比'!$O$23:$P$38,2,FALSE)</f>
        <v>54</v>
      </c>
      <c r="Q34" s="12">
        <f>VLOOKUP(O34,'[2]2026月度数据对比'!$O$23:$Q$38,3,FALSE)</f>
        <v>47</v>
      </c>
      <c r="R34" s="12">
        <v>92</v>
      </c>
      <c r="S34" s="16">
        <v>74</v>
      </c>
      <c r="T34" s="16">
        <v>69</v>
      </c>
      <c r="U34" s="16"/>
      <c r="V34" s="16"/>
      <c r="W34" s="16"/>
      <c r="X34" s="16"/>
      <c r="Y34" s="16"/>
      <c r="Z34" s="16"/>
      <c r="AA34" s="16"/>
      <c r="AB34" s="24"/>
      <c r="AC34" s="12" t="s">
        <v>30</v>
      </c>
      <c r="AD34" s="21"/>
      <c r="AE34" s="21"/>
      <c r="AF34" s="21"/>
      <c r="AG34" s="21"/>
      <c r="AH34" s="21"/>
      <c r="AI34" s="21"/>
      <c r="AJ34" s="21"/>
      <c r="AK34" s="21"/>
      <c r="AL34" s="21"/>
      <c r="AM34" s="21"/>
      <c r="AN34" s="21"/>
      <c r="AO34" s="21"/>
    </row>
    <row r="35" spans="1:41" ht="16.899999999999999">
      <c r="A35" s="12" t="s">
        <v>31</v>
      </c>
      <c r="B35" s="12">
        <f>VLOOKUP(A35,'[2]2026月度数据对比'!$A$23:$B$38,2,FALSE)</f>
        <v>319</v>
      </c>
      <c r="C35" s="12">
        <f>VLOOKUP(A35,'[2]2026月度数据对比'!$A$23:$C$38,3,FALSE)</f>
        <v>282</v>
      </c>
      <c r="D35" s="12">
        <v>338</v>
      </c>
      <c r="E35" s="16">
        <v>365</v>
      </c>
      <c r="F35" s="16">
        <v>408</v>
      </c>
      <c r="G35" s="16"/>
      <c r="H35" s="16"/>
      <c r="I35" s="16"/>
      <c r="J35" s="16"/>
      <c r="K35" s="16"/>
      <c r="L35" s="16"/>
      <c r="M35" s="16"/>
      <c r="O35" s="12" t="s">
        <v>31</v>
      </c>
      <c r="P35" s="12">
        <f>VLOOKUP(O35,'[2]2026月度数据对比'!$O$23:$P$38,2,FALSE)</f>
        <v>54</v>
      </c>
      <c r="Q35" s="12">
        <f>VLOOKUP(O35,'[2]2026月度数据对比'!$O$23:$Q$38,3,FALSE)</f>
        <v>11</v>
      </c>
      <c r="R35" s="12">
        <v>39</v>
      </c>
      <c r="S35" s="16">
        <v>22</v>
      </c>
      <c r="T35" s="16">
        <v>23</v>
      </c>
      <c r="U35" s="16"/>
      <c r="V35" s="16"/>
      <c r="W35" s="16"/>
      <c r="X35" s="20"/>
      <c r="Y35" s="20"/>
      <c r="Z35" s="20"/>
      <c r="AA35" s="20"/>
      <c r="AC35" s="12" t="s">
        <v>31</v>
      </c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</row>
    <row r="36" spans="1:41" customFormat="1" ht="16.899999999999999">
      <c r="A36" s="12" t="s">
        <v>32</v>
      </c>
      <c r="B36" s="12">
        <f>VLOOKUP(A36,'[2]2026月度数据对比'!$A$23:$B$38,2,FALSE)</f>
        <v>539</v>
      </c>
      <c r="C36" s="12">
        <f>VLOOKUP(A36,'[2]2026月度数据对比'!$A$23:$C$38,3,FALSE)</f>
        <v>525</v>
      </c>
      <c r="D36" s="12">
        <v>331</v>
      </c>
      <c r="E36" s="16">
        <v>719</v>
      </c>
      <c r="F36" s="16">
        <v>323</v>
      </c>
      <c r="G36" s="16"/>
      <c r="H36" s="16"/>
      <c r="I36" s="16"/>
      <c r="J36" s="16"/>
      <c r="K36" s="16"/>
      <c r="L36" s="16"/>
      <c r="M36" s="16"/>
      <c r="N36" s="6"/>
      <c r="O36" s="12" t="s">
        <v>32</v>
      </c>
      <c r="P36" s="12">
        <f>VLOOKUP(O36,'[2]2026月度数据对比'!$O$23:$P$38,2,FALSE)</f>
        <v>1</v>
      </c>
      <c r="Q36" s="12">
        <f>VLOOKUP(O36,'[2]2026月度数据对比'!$O$23:$Q$38,3,FALSE)</f>
        <v>4</v>
      </c>
      <c r="R36" s="12">
        <v>11</v>
      </c>
      <c r="S36" s="16">
        <v>23</v>
      </c>
      <c r="T36" s="16">
        <v>15</v>
      </c>
      <c r="U36" s="16"/>
      <c r="V36" s="16"/>
      <c r="W36" s="16"/>
      <c r="X36" s="20"/>
      <c r="Y36" s="20"/>
      <c r="Z36" s="20"/>
      <c r="AA36" s="20"/>
      <c r="AB36" s="6"/>
      <c r="AC36" s="12" t="s">
        <v>32</v>
      </c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6"/>
      <c r="AO36" s="26"/>
    </row>
    <row r="37" spans="1:41" customFormat="1" ht="16.899999999999999">
      <c r="A37" s="12" t="s">
        <v>33</v>
      </c>
      <c r="B37" s="12">
        <f>VLOOKUP(A37,'[2]2026月度数据对比'!$A$23:$B$38,2,FALSE)</f>
        <v>260</v>
      </c>
      <c r="C37" s="12">
        <f>VLOOKUP(A37,'[2]2026月度数据对比'!$A$23:$C$38,3,FALSE)</f>
        <v>212</v>
      </c>
      <c r="D37" s="12">
        <v>225</v>
      </c>
      <c r="E37" s="16">
        <v>220</v>
      </c>
      <c r="F37" s="16">
        <v>257</v>
      </c>
      <c r="G37" s="16"/>
      <c r="H37" s="16"/>
      <c r="I37" s="16"/>
      <c r="J37" s="16"/>
      <c r="K37" s="16"/>
      <c r="L37" s="16"/>
      <c r="M37" s="16"/>
      <c r="N37" s="6"/>
      <c r="O37" s="12" t="s">
        <v>33</v>
      </c>
      <c r="P37" s="12">
        <f>VLOOKUP(O37,'[2]2026月度数据对比'!$O$23:$P$38,2,FALSE)</f>
        <v>22</v>
      </c>
      <c r="Q37" s="12">
        <f>VLOOKUP(O37,'[2]2026月度数据对比'!$O$23:$Q$38,3,FALSE)</f>
        <v>6</v>
      </c>
      <c r="R37" s="12">
        <v>11</v>
      </c>
      <c r="S37" s="16">
        <v>20</v>
      </c>
      <c r="T37" s="16">
        <v>13</v>
      </c>
      <c r="U37" s="16"/>
      <c r="V37" s="16"/>
      <c r="W37" s="16"/>
      <c r="X37" s="20"/>
      <c r="Y37" s="20"/>
      <c r="Z37" s="20"/>
      <c r="AA37" s="20"/>
      <c r="AB37" s="6"/>
      <c r="AC37" s="12" t="s">
        <v>33</v>
      </c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6"/>
      <c r="AO37" s="26"/>
    </row>
    <row r="38" spans="1:41" customFormat="1" ht="16.899999999999999">
      <c r="A38" s="12" t="s">
        <v>34</v>
      </c>
      <c r="B38" s="12">
        <f>VLOOKUP(A38,'[2]2026月度数据对比'!$A$23:$B$38,2,FALSE)</f>
        <v>19</v>
      </c>
      <c r="C38" s="12">
        <f>VLOOKUP(A38,'[2]2026月度数据对比'!$A$23:$C$38,3,FALSE)</f>
        <v>2</v>
      </c>
      <c r="D38" s="12">
        <v>22</v>
      </c>
      <c r="E38" s="16">
        <v>74</v>
      </c>
      <c r="F38" s="16">
        <v>52</v>
      </c>
      <c r="G38" s="16"/>
      <c r="H38" s="16"/>
      <c r="I38" s="16"/>
      <c r="J38" s="16"/>
      <c r="K38" s="16"/>
      <c r="L38" s="16"/>
      <c r="M38" s="16"/>
      <c r="N38" s="6"/>
      <c r="O38" s="12" t="s">
        <v>34</v>
      </c>
      <c r="P38" s="12">
        <f>VLOOKUP(O38,'[2]2026月度数据对比'!$O$23:$P$38,2,FALSE)</f>
        <v>7</v>
      </c>
      <c r="Q38" s="12">
        <f>VLOOKUP(O38,'[2]2026月度数据对比'!$O$23:$Q$38,3,FALSE)</f>
        <v>1</v>
      </c>
      <c r="R38" s="12">
        <v>3</v>
      </c>
      <c r="S38" s="16">
        <v>15</v>
      </c>
      <c r="T38" s="16">
        <v>8</v>
      </c>
      <c r="U38" s="16"/>
      <c r="V38" s="16"/>
      <c r="W38" s="16"/>
      <c r="X38" s="20"/>
      <c r="Y38" s="20"/>
      <c r="Z38" s="20"/>
      <c r="AA38" s="20"/>
      <c r="AB38" s="6"/>
      <c r="AC38" s="12" t="s">
        <v>34</v>
      </c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6"/>
      <c r="AO38" s="26"/>
    </row>
    <row r="39" spans="1:41" customFormat="1" ht="16.899999999999999">
      <c r="A39" s="12" t="s">
        <v>35</v>
      </c>
      <c r="B39" s="12">
        <f>VLOOKUP(A39,'[2]2026月度数据对比'!$A$23:$B$38,2,FALSE)</f>
        <v>550</v>
      </c>
      <c r="C39" s="12">
        <f>VLOOKUP(A39,'[2]2026月度数据对比'!$A$23:$C$38,3,FALSE)</f>
        <v>285</v>
      </c>
      <c r="D39" s="12">
        <v>393</v>
      </c>
      <c r="E39" s="16">
        <v>941</v>
      </c>
      <c r="F39" s="16">
        <v>269</v>
      </c>
      <c r="G39" s="16"/>
      <c r="H39" s="16"/>
      <c r="I39" s="16"/>
      <c r="J39" s="16"/>
      <c r="K39" s="16"/>
      <c r="L39" s="16"/>
      <c r="M39" s="16"/>
      <c r="N39" s="6"/>
      <c r="O39" s="12" t="s">
        <v>35</v>
      </c>
      <c r="P39" s="12">
        <f>VLOOKUP(O39,'[2]2026月度数据对比'!$O$23:$P$38,2,FALSE)</f>
        <v>0</v>
      </c>
      <c r="Q39" s="12">
        <f>VLOOKUP(O39,'[2]2026月度数据对比'!$O$23:$Q$38,3,FALSE)</f>
        <v>3</v>
      </c>
      <c r="R39" s="12">
        <v>8</v>
      </c>
      <c r="S39" s="16">
        <v>24</v>
      </c>
      <c r="T39" s="16">
        <v>15</v>
      </c>
      <c r="U39" s="16"/>
      <c r="V39" s="16"/>
      <c r="W39" s="16"/>
      <c r="X39" s="20"/>
      <c r="Y39" s="20"/>
      <c r="Z39" s="20"/>
      <c r="AA39" s="20"/>
      <c r="AB39" s="6"/>
      <c r="AC39" s="12" t="s">
        <v>35</v>
      </c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6"/>
      <c r="AO39" s="26"/>
    </row>
    <row r="40" spans="1:41" customFormat="1" ht="16.899999999999999">
      <c r="A40" s="12" t="s">
        <v>36</v>
      </c>
      <c r="B40" s="12">
        <f>VLOOKUP(A40,'[2]2026月度数据对比'!$A$23:$B$38,2,FALSE)</f>
        <v>188</v>
      </c>
      <c r="C40" s="12">
        <f>VLOOKUP(A40,'[2]2026月度数据对比'!$A$23:$C$38,3,FALSE)</f>
        <v>84</v>
      </c>
      <c r="D40" s="12">
        <v>282</v>
      </c>
      <c r="E40" s="16">
        <v>398</v>
      </c>
      <c r="F40" s="16">
        <v>212</v>
      </c>
      <c r="G40" s="16"/>
      <c r="H40" s="16"/>
      <c r="I40" s="16"/>
      <c r="J40" s="16"/>
      <c r="K40" s="16"/>
      <c r="L40" s="16"/>
      <c r="M40" s="16"/>
      <c r="N40" s="6"/>
      <c r="O40" s="12" t="s">
        <v>36</v>
      </c>
      <c r="P40" s="12">
        <f>VLOOKUP(O40,'[2]2026月度数据对比'!$O$23:$P$38,2,FALSE)</f>
        <v>2</v>
      </c>
      <c r="Q40" s="12">
        <f>VLOOKUP(O40,'[2]2026月度数据对比'!$O$23:$Q$38,3,FALSE)</f>
        <v>6</v>
      </c>
      <c r="R40" s="12">
        <v>21</v>
      </c>
      <c r="S40" s="16">
        <v>18</v>
      </c>
      <c r="T40" s="16">
        <v>9</v>
      </c>
      <c r="U40" s="16"/>
      <c r="V40" s="16"/>
      <c r="W40" s="16"/>
      <c r="X40" s="20"/>
      <c r="Y40" s="20"/>
      <c r="Z40" s="20"/>
      <c r="AA40" s="20"/>
      <c r="AB40" s="6"/>
      <c r="AC40" s="12" t="s">
        <v>36</v>
      </c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7"/>
      <c r="AO40" s="27"/>
    </row>
    <row r="41" spans="1:41" customFormat="1" ht="16.899999999999999">
      <c r="A41" s="12" t="s">
        <v>37</v>
      </c>
      <c r="B41" s="12"/>
      <c r="C41" s="12"/>
      <c r="D41" s="12"/>
      <c r="E41" s="16"/>
      <c r="F41" s="16">
        <v>39</v>
      </c>
      <c r="G41" s="16"/>
      <c r="H41" s="16"/>
      <c r="I41" s="16"/>
      <c r="J41" s="16"/>
      <c r="K41" s="16"/>
      <c r="L41" s="16"/>
      <c r="M41" s="16"/>
      <c r="N41" s="6"/>
      <c r="O41" s="12" t="s">
        <v>37</v>
      </c>
      <c r="P41" s="12"/>
      <c r="Q41" s="12"/>
      <c r="R41" s="12"/>
      <c r="S41" s="16"/>
      <c r="T41" s="16">
        <v>1</v>
      </c>
      <c r="U41" s="16"/>
      <c r="V41" s="16"/>
      <c r="W41" s="16"/>
      <c r="X41" s="16"/>
      <c r="Y41" s="16"/>
      <c r="Z41" s="16"/>
      <c r="AA41" s="20"/>
      <c r="AB41" s="6"/>
      <c r="AC41" s="12" t="s">
        <v>37</v>
      </c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7"/>
      <c r="AO41" s="27"/>
    </row>
    <row r="42" spans="1:41" customFormat="1" ht="13.9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</row>
    <row r="43" spans="1:41" ht="25.5">
      <c r="A43" s="264" t="s">
        <v>80</v>
      </c>
      <c r="B43" s="264"/>
      <c r="C43" s="264"/>
      <c r="D43" s="264"/>
      <c r="E43" s="264"/>
      <c r="F43" s="264"/>
      <c r="G43" s="264"/>
      <c r="H43" s="264"/>
      <c r="I43" s="264"/>
      <c r="J43" s="264"/>
      <c r="K43" s="264"/>
      <c r="L43" s="264"/>
      <c r="M43" s="264"/>
      <c r="N43" s="7"/>
      <c r="O43" s="265"/>
      <c r="P43" s="264"/>
      <c r="Q43" s="264"/>
      <c r="R43" s="264"/>
      <c r="S43" s="264"/>
      <c r="T43" s="264"/>
      <c r="U43" s="264"/>
      <c r="V43" s="264"/>
      <c r="W43" s="264"/>
      <c r="X43" s="264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 spans="1:41" ht="16.899999999999999">
      <c r="A44" s="8" t="s">
        <v>101</v>
      </c>
      <c r="B44" s="8" t="s">
        <v>102</v>
      </c>
      <c r="C44" s="9" t="s">
        <v>103</v>
      </c>
      <c r="D44" s="9" t="s">
        <v>104</v>
      </c>
      <c r="E44" s="10" t="s">
        <v>105</v>
      </c>
      <c r="F44" s="10" t="s">
        <v>106</v>
      </c>
      <c r="G44" s="10" t="s">
        <v>107</v>
      </c>
      <c r="H44" s="10" t="s">
        <v>108</v>
      </c>
      <c r="I44" s="10" t="s">
        <v>109</v>
      </c>
      <c r="J44" s="10" t="s">
        <v>110</v>
      </c>
      <c r="K44" s="10" t="s">
        <v>111</v>
      </c>
      <c r="L44" s="10" t="s">
        <v>112</v>
      </c>
      <c r="M44" s="10" t="s">
        <v>113</v>
      </c>
      <c r="N44" s="28"/>
      <c r="O44" s="8" t="s">
        <v>101</v>
      </c>
      <c r="P44" s="8" t="s">
        <v>102</v>
      </c>
      <c r="Q44" s="9" t="s">
        <v>103</v>
      </c>
      <c r="R44" s="9" t="s">
        <v>104</v>
      </c>
      <c r="S44" s="10" t="s">
        <v>105</v>
      </c>
      <c r="T44" s="10" t="s">
        <v>106</v>
      </c>
      <c r="U44" s="10" t="s">
        <v>107</v>
      </c>
      <c r="V44" s="10" t="s">
        <v>108</v>
      </c>
      <c r="W44" s="10" t="s">
        <v>109</v>
      </c>
      <c r="X44" s="10" t="s">
        <v>110</v>
      </c>
      <c r="Y44" s="10" t="s">
        <v>111</v>
      </c>
      <c r="Z44" s="10" t="s">
        <v>112</v>
      </c>
      <c r="AA44" s="10" t="s">
        <v>113</v>
      </c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spans="1:41" ht="20.25">
      <c r="A45" s="12" t="s">
        <v>20</v>
      </c>
      <c r="B45" s="12">
        <f>VLOOKUP(A45,'[2]2026月度数据对比'!$A$44:$B$59,2,FALSE)</f>
        <v>2708</v>
      </c>
      <c r="C45" s="12">
        <f>VLOOKUP(A45,'[2]2026月度数据对比'!$A$44:$C$59,3,FALSE)</f>
        <v>1842</v>
      </c>
      <c r="D45" s="12">
        <v>991</v>
      </c>
      <c r="E45" s="12">
        <v>474</v>
      </c>
      <c r="F45" s="16">
        <v>590</v>
      </c>
      <c r="G45" s="16"/>
      <c r="H45" s="16"/>
      <c r="I45" s="16"/>
      <c r="J45" s="16"/>
      <c r="K45" s="16"/>
      <c r="L45" s="16"/>
      <c r="M45" s="16"/>
      <c r="N45" s="29"/>
      <c r="O45" s="12" t="s">
        <v>20</v>
      </c>
      <c r="P45" s="30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12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</row>
    <row r="46" spans="1:41" ht="20.25">
      <c r="A46" s="12" t="s">
        <v>21</v>
      </c>
      <c r="B46" s="12">
        <v>838</v>
      </c>
      <c r="C46" s="12">
        <v>451</v>
      </c>
      <c r="D46" s="12">
        <v>1341</v>
      </c>
      <c r="E46" s="12">
        <v>1751</v>
      </c>
      <c r="F46" s="16">
        <v>1070</v>
      </c>
      <c r="G46" s="16"/>
      <c r="H46" s="16"/>
      <c r="I46" s="16"/>
      <c r="J46" s="16"/>
      <c r="K46" s="16"/>
      <c r="L46" s="16"/>
      <c r="M46" s="16"/>
      <c r="N46" s="29"/>
      <c r="O46" s="12" t="s">
        <v>21</v>
      </c>
      <c r="P46" s="30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12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</row>
    <row r="47" spans="1:41" ht="20.25">
      <c r="A47" s="12" t="s">
        <v>22</v>
      </c>
      <c r="B47" s="12">
        <f>VLOOKUP(A47,'[2]2026月度数据对比'!$A$44:$B$59,2,FALSE)</f>
        <v>1021</v>
      </c>
      <c r="C47" s="12">
        <f>VLOOKUP(A47,'[2]2026月度数据对比'!$A$44:$C$59,3,FALSE)</f>
        <v>608</v>
      </c>
      <c r="D47" s="12">
        <v>979</v>
      </c>
      <c r="E47" s="12">
        <v>1087</v>
      </c>
      <c r="F47" s="16">
        <v>560</v>
      </c>
      <c r="G47" s="16"/>
      <c r="H47" s="16"/>
      <c r="I47" s="16"/>
      <c r="J47" s="16"/>
      <c r="K47" s="16"/>
      <c r="L47" s="16"/>
      <c r="M47" s="16"/>
      <c r="N47" s="29"/>
      <c r="O47" s="12" t="s">
        <v>22</v>
      </c>
      <c r="P47" s="30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12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</row>
    <row r="48" spans="1:41" ht="20.25">
      <c r="A48" s="12" t="s">
        <v>23</v>
      </c>
      <c r="B48" s="12">
        <f>VLOOKUP(A48,'[2]2026月度数据对比'!$A$44:$B$59,2,FALSE)</f>
        <v>490</v>
      </c>
      <c r="C48" s="12">
        <f>VLOOKUP(A48,'[2]2026月度数据对比'!$A$44:$C$59,3,FALSE)</f>
        <v>101</v>
      </c>
      <c r="D48" s="12">
        <v>623</v>
      </c>
      <c r="E48" s="12">
        <v>456</v>
      </c>
      <c r="F48" s="16">
        <v>418</v>
      </c>
      <c r="G48" s="16"/>
      <c r="H48" s="16"/>
      <c r="I48" s="16"/>
      <c r="J48" s="16"/>
      <c r="K48" s="16"/>
      <c r="L48" s="16"/>
      <c r="M48" s="16"/>
      <c r="N48" s="29"/>
      <c r="O48" s="12" t="s">
        <v>23</v>
      </c>
      <c r="P48" s="30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12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</row>
    <row r="49" spans="1:39" ht="20.25">
      <c r="A49" s="12" t="s">
        <v>24</v>
      </c>
      <c r="B49" s="12">
        <f>VLOOKUP(A49,'[2]2026月度数据对比'!$A$44:$B$59,2,FALSE)</f>
        <v>29</v>
      </c>
      <c r="C49" s="12">
        <f>VLOOKUP(A49,'[2]2026月度数据对比'!$A$44:$C$59,3,FALSE)</f>
        <v>353</v>
      </c>
      <c r="D49" s="12">
        <v>321</v>
      </c>
      <c r="E49" s="12">
        <v>364</v>
      </c>
      <c r="F49" s="16">
        <v>331</v>
      </c>
      <c r="G49" s="16"/>
      <c r="H49" s="16"/>
      <c r="I49" s="16"/>
      <c r="J49" s="16"/>
      <c r="K49" s="16"/>
      <c r="L49" s="16"/>
      <c r="M49" s="16"/>
      <c r="N49" s="29"/>
      <c r="O49" s="12" t="s">
        <v>24</v>
      </c>
      <c r="P49" s="30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12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</row>
    <row r="50" spans="1:39" ht="20.25">
      <c r="A50" s="12" t="s">
        <v>25</v>
      </c>
      <c r="B50" s="12">
        <f>VLOOKUP(A50,'[2]2026月度数据对比'!$A$44:$B$59,2,FALSE)</f>
        <v>0</v>
      </c>
      <c r="C50" s="12">
        <f>VLOOKUP(A50,'[2]2026月度数据对比'!$A$44:$C$59,3,FALSE)</f>
        <v>0</v>
      </c>
      <c r="D50" s="12">
        <v>270</v>
      </c>
      <c r="E50" s="16">
        <v>45</v>
      </c>
      <c r="F50" s="16">
        <v>293</v>
      </c>
      <c r="G50" s="16"/>
      <c r="H50" s="16"/>
      <c r="I50" s="16"/>
      <c r="J50" s="16"/>
      <c r="K50" s="16"/>
      <c r="L50" s="16"/>
      <c r="M50" s="16"/>
      <c r="N50" s="29"/>
      <c r="O50" s="12" t="s">
        <v>25</v>
      </c>
      <c r="P50" s="32"/>
      <c r="Q50" s="21"/>
      <c r="R50" s="21"/>
      <c r="S50" s="21"/>
      <c r="T50" s="21"/>
      <c r="U50" s="21"/>
      <c r="V50" s="21"/>
      <c r="W50" s="21"/>
      <c r="X50" s="22"/>
      <c r="Y50" s="22"/>
      <c r="Z50" s="21"/>
      <c r="AA50" s="16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</row>
    <row r="51" spans="1:39" ht="20.25">
      <c r="A51" s="12" t="s">
        <v>26</v>
      </c>
      <c r="B51" s="12">
        <f>VLOOKUP(A51,'[2]2026月度数据对比'!$A$44:$B$59,2,FALSE)</f>
        <v>416</v>
      </c>
      <c r="C51" s="12">
        <f>VLOOKUP(A51,'[2]2026月度数据对比'!$A$44:$C$59,3,FALSE)</f>
        <v>136</v>
      </c>
      <c r="D51" s="12">
        <v>313</v>
      </c>
      <c r="E51" s="16">
        <v>258</v>
      </c>
      <c r="F51" s="16">
        <v>168</v>
      </c>
      <c r="G51" s="16"/>
      <c r="H51" s="16"/>
      <c r="I51" s="16"/>
      <c r="J51" s="16"/>
      <c r="K51" s="16"/>
      <c r="L51" s="16"/>
      <c r="M51" s="16"/>
      <c r="N51" s="29"/>
      <c r="O51" s="12" t="s">
        <v>26</v>
      </c>
      <c r="P51" s="32"/>
      <c r="Q51" s="21"/>
      <c r="R51" s="21"/>
      <c r="S51" s="21"/>
      <c r="T51" s="21"/>
      <c r="U51" s="21"/>
      <c r="V51" s="21"/>
      <c r="W51" s="21"/>
      <c r="X51" s="22"/>
      <c r="Y51" s="22"/>
      <c r="Z51" s="21"/>
      <c r="AA51" s="16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</row>
    <row r="52" spans="1:39" ht="20.25">
      <c r="A52" s="12" t="s">
        <v>27</v>
      </c>
      <c r="B52" s="12"/>
      <c r="C52" s="12"/>
      <c r="D52" s="12">
        <v>188</v>
      </c>
      <c r="E52" s="16">
        <v>379</v>
      </c>
      <c r="F52" s="16">
        <v>448</v>
      </c>
      <c r="G52" s="16"/>
      <c r="H52" s="16"/>
      <c r="I52" s="16"/>
      <c r="J52" s="16"/>
      <c r="K52" s="16"/>
      <c r="L52" s="16"/>
      <c r="M52" s="16"/>
      <c r="N52" s="29"/>
      <c r="O52" s="12" t="s">
        <v>27</v>
      </c>
      <c r="P52" s="32"/>
      <c r="Q52" s="21"/>
      <c r="R52" s="21"/>
      <c r="S52" s="21"/>
      <c r="T52" s="21"/>
      <c r="U52" s="21"/>
      <c r="V52" s="21"/>
      <c r="W52" s="21"/>
      <c r="X52" s="22"/>
      <c r="Y52" s="22"/>
      <c r="Z52" s="21"/>
      <c r="AA52" s="16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</row>
    <row r="53" spans="1:39" ht="20.25">
      <c r="A53" s="12" t="s">
        <v>28</v>
      </c>
      <c r="B53" s="12">
        <f>VLOOKUP(A53,'[2]2026月度数据对比'!$A$44:$B$59,2,FALSE)</f>
        <v>178</v>
      </c>
      <c r="C53" s="12">
        <f>VLOOKUP(A53,'[2]2026月度数据对比'!$A$44:$C$59,3,FALSE)</f>
        <v>1348</v>
      </c>
      <c r="D53" s="12">
        <v>346</v>
      </c>
      <c r="E53" s="16">
        <v>217</v>
      </c>
      <c r="F53" s="16">
        <v>88</v>
      </c>
      <c r="G53" s="16"/>
      <c r="H53" s="16"/>
      <c r="I53" s="16"/>
      <c r="J53" s="16"/>
      <c r="K53" s="16"/>
      <c r="L53" s="16"/>
      <c r="M53" s="16"/>
      <c r="N53" s="29"/>
      <c r="O53" s="12" t="s">
        <v>28</v>
      </c>
      <c r="P53" s="32"/>
      <c r="Q53" s="21"/>
      <c r="R53" s="21"/>
      <c r="S53" s="21"/>
      <c r="T53" s="21"/>
      <c r="U53" s="21"/>
      <c r="V53" s="21"/>
      <c r="W53" s="21"/>
      <c r="X53" s="22"/>
      <c r="Y53" s="22"/>
      <c r="Z53" s="21"/>
      <c r="AA53" s="16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</row>
    <row r="54" spans="1:39" ht="16.899999999999999">
      <c r="A54" s="12" t="s">
        <v>29</v>
      </c>
      <c r="B54" s="12">
        <f>VLOOKUP(A54,'[2]2026月度数据对比'!$A$44:$B$59,2,FALSE)</f>
        <v>406</v>
      </c>
      <c r="C54" s="12">
        <f>VLOOKUP(A54,'[2]2026月度数据对比'!$A$44:$C$59,3,FALSE)</f>
        <v>634</v>
      </c>
      <c r="D54" s="12">
        <v>1005</v>
      </c>
      <c r="E54" s="16">
        <v>779</v>
      </c>
      <c r="F54" s="16">
        <v>1099</v>
      </c>
      <c r="G54" s="16"/>
      <c r="H54" s="16"/>
      <c r="I54" s="16"/>
      <c r="J54" s="16"/>
      <c r="K54" s="16"/>
      <c r="L54" s="16"/>
      <c r="M54" s="16"/>
      <c r="O54" s="12" t="s">
        <v>29</v>
      </c>
      <c r="P54" s="32"/>
      <c r="Q54" s="21"/>
      <c r="R54" s="21"/>
      <c r="S54" s="21"/>
      <c r="T54" s="21"/>
      <c r="U54" s="21"/>
      <c r="V54" s="21"/>
      <c r="W54" s="21"/>
      <c r="X54" s="22"/>
      <c r="Y54" s="22"/>
      <c r="Z54" s="21"/>
      <c r="AA54" s="16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</row>
    <row r="55" spans="1:39" ht="16.899999999999999">
      <c r="A55" s="12" t="s">
        <v>30</v>
      </c>
      <c r="B55" s="12">
        <f>VLOOKUP(A55,'[2]2026月度数据对比'!$A$44:$B$59,2,FALSE)</f>
        <v>537</v>
      </c>
      <c r="C55" s="12">
        <f>VLOOKUP(A55,'[2]2026月度数据对比'!$A$44:$C$59,3,FALSE)</f>
        <v>337</v>
      </c>
      <c r="D55" s="12">
        <v>946</v>
      </c>
      <c r="E55" s="16">
        <v>954</v>
      </c>
      <c r="F55" s="16">
        <v>1309</v>
      </c>
      <c r="G55" s="16"/>
      <c r="H55" s="16"/>
      <c r="I55" s="16"/>
      <c r="J55" s="16"/>
      <c r="K55" s="16"/>
      <c r="L55" s="16"/>
      <c r="M55" s="16"/>
      <c r="O55" s="12" t="s">
        <v>30</v>
      </c>
      <c r="P55" s="32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16"/>
    </row>
    <row r="56" spans="1:39" ht="16.899999999999999">
      <c r="A56" s="12" t="s">
        <v>31</v>
      </c>
      <c r="B56" s="12">
        <f>VLOOKUP(A56,'[2]2026月度数据对比'!$A$44:$B$59,2,FALSE)</f>
        <v>269</v>
      </c>
      <c r="C56" s="12">
        <f>VLOOKUP(A56,'[2]2026月度数据对比'!$A$44:$C$59,3,FALSE)</f>
        <v>247</v>
      </c>
      <c r="D56" s="12">
        <v>245</v>
      </c>
      <c r="E56" s="16">
        <v>626</v>
      </c>
      <c r="F56" s="16">
        <v>260</v>
      </c>
      <c r="G56" s="16"/>
      <c r="H56" s="16"/>
      <c r="I56" s="16"/>
      <c r="J56" s="16"/>
      <c r="K56" s="16"/>
      <c r="L56" s="16"/>
      <c r="M56" s="16"/>
      <c r="O56" s="12" t="s">
        <v>31</v>
      </c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39" ht="16.899999999999999">
      <c r="A57" s="12" t="s">
        <v>32</v>
      </c>
      <c r="B57" s="12">
        <f>VLOOKUP(A57,'[2]2026月度数据对比'!$A$44:$B$59,2,FALSE)</f>
        <v>511</v>
      </c>
      <c r="C57" s="12">
        <f>VLOOKUP(A57,'[2]2026月度数据对比'!$A$44:$C$59,3,FALSE)</f>
        <v>505</v>
      </c>
      <c r="D57" s="12">
        <v>318</v>
      </c>
      <c r="E57" s="16">
        <v>713</v>
      </c>
      <c r="F57" s="16">
        <v>312</v>
      </c>
      <c r="G57" s="16"/>
      <c r="H57" s="16"/>
      <c r="I57" s="16"/>
      <c r="J57" s="16"/>
      <c r="K57" s="16"/>
      <c r="L57" s="16"/>
      <c r="M57" s="16"/>
      <c r="O57" s="12" t="s">
        <v>32</v>
      </c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39" ht="16.899999999999999">
      <c r="A58" s="12" t="s">
        <v>33</v>
      </c>
      <c r="B58" s="12">
        <f>VLOOKUP(A58,'[2]2026月度数据对比'!$A$44:$B$59,2,FALSE)</f>
        <v>233</v>
      </c>
      <c r="C58" s="12">
        <f>VLOOKUP(A58,'[2]2026月度数据对比'!$A$44:$C$59,3,FALSE)</f>
        <v>186</v>
      </c>
      <c r="D58" s="12">
        <v>205</v>
      </c>
      <c r="E58" s="16">
        <v>265</v>
      </c>
      <c r="F58" s="16">
        <v>155</v>
      </c>
      <c r="G58" s="16"/>
      <c r="H58" s="16"/>
      <c r="I58" s="16"/>
      <c r="J58" s="16"/>
      <c r="K58" s="16"/>
      <c r="L58" s="16"/>
      <c r="M58" s="16"/>
      <c r="O58" s="12" t="s">
        <v>33</v>
      </c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39" ht="16.899999999999999">
      <c r="A59" s="12" t="s">
        <v>34</v>
      </c>
      <c r="B59" s="12">
        <f>VLOOKUP(A59,'[2]2026月度数据对比'!$A$44:$B$59,2,FALSE)</f>
        <v>0</v>
      </c>
      <c r="C59" s="12">
        <f>VLOOKUP(A59,'[2]2026月度数据对比'!$A$44:$C$59,3,FALSE)</f>
        <v>0</v>
      </c>
      <c r="D59" s="12">
        <v>0</v>
      </c>
      <c r="E59" s="16">
        <v>0</v>
      </c>
      <c r="F59" s="16">
        <v>0</v>
      </c>
      <c r="G59" s="16"/>
      <c r="H59" s="16"/>
      <c r="I59" s="16"/>
      <c r="J59" s="16"/>
      <c r="K59" s="16"/>
      <c r="L59" s="16"/>
      <c r="M59" s="16"/>
      <c r="O59" s="12" t="s">
        <v>34</v>
      </c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39" ht="16.899999999999999">
      <c r="A60" s="12" t="s">
        <v>35</v>
      </c>
      <c r="B60" s="12">
        <f>VLOOKUP(A60,'[2]2026月度数据对比'!$A$44:$B$59,2,FALSE)</f>
        <v>530</v>
      </c>
      <c r="C60" s="12">
        <f>VLOOKUP(A60,'[2]2026月度数据对比'!$A$44:$C$59,3,FALSE)</f>
        <v>251</v>
      </c>
      <c r="D60" s="12">
        <v>382</v>
      </c>
      <c r="E60" s="16">
        <v>919</v>
      </c>
      <c r="F60" s="16">
        <v>251</v>
      </c>
      <c r="G60" s="16"/>
      <c r="H60" s="16"/>
      <c r="I60" s="16"/>
      <c r="J60" s="16"/>
      <c r="K60" s="16"/>
      <c r="L60" s="16"/>
      <c r="M60" s="16"/>
      <c r="O60" s="12" t="s">
        <v>35</v>
      </c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39" ht="16.899999999999999">
      <c r="A61" s="12" t="s">
        <v>36</v>
      </c>
      <c r="B61" s="12">
        <f>VLOOKUP(A61,'[2]2026月度数据对比'!$A$44:$B$59,2,FALSE)</f>
        <v>166</v>
      </c>
      <c r="C61" s="12">
        <f>VLOOKUP(A61,'[2]2026月度数据对比'!$A$44:$C$59,3,FALSE)</f>
        <v>23</v>
      </c>
      <c r="D61" s="12">
        <v>267</v>
      </c>
      <c r="E61" s="16">
        <v>382</v>
      </c>
      <c r="F61" s="16">
        <v>193</v>
      </c>
      <c r="G61" s="16"/>
      <c r="H61" s="16"/>
      <c r="I61" s="16"/>
      <c r="J61" s="16"/>
      <c r="K61" s="16"/>
      <c r="L61" s="16"/>
      <c r="M61" s="16"/>
      <c r="O61" s="12" t="s">
        <v>36</v>
      </c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39" ht="16.899999999999999">
      <c r="A62" s="12" t="s">
        <v>37</v>
      </c>
      <c r="B62" s="12"/>
      <c r="C62" s="12"/>
      <c r="D62" s="12"/>
      <c r="E62" s="16"/>
      <c r="F62" s="16">
        <v>4</v>
      </c>
      <c r="G62" s="16"/>
      <c r="H62" s="16"/>
      <c r="I62" s="16"/>
      <c r="J62" s="16"/>
      <c r="K62" s="16"/>
      <c r="L62" s="16"/>
      <c r="M62" s="16"/>
      <c r="O62" s="12" t="s">
        <v>37</v>
      </c>
      <c r="P62" s="12"/>
      <c r="Q62" s="12"/>
      <c r="R62" s="12"/>
      <c r="S62" s="16"/>
      <c r="T62" s="16"/>
      <c r="U62" s="16"/>
      <c r="V62" s="16"/>
      <c r="W62" s="16"/>
      <c r="X62" s="16"/>
      <c r="Y62" s="16"/>
      <c r="Z62" s="16"/>
      <c r="AA62" s="20"/>
    </row>
  </sheetData>
  <mergeCells count="7">
    <mergeCell ref="A43:M43"/>
    <mergeCell ref="O43:X43"/>
    <mergeCell ref="A1:J1"/>
    <mergeCell ref="O1:X1"/>
    <mergeCell ref="A22:M22"/>
    <mergeCell ref="O22:X22"/>
    <mergeCell ref="AC22:AL22"/>
  </mergeCells>
  <phoneticPr fontId="27" type="noConversion"/>
  <pageMargins left="0.75" right="0.75" top="1" bottom="1" header="0.5" footer="0.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5"/>
  <sheetViews>
    <sheetView topLeftCell="A4" workbookViewId="0">
      <selection activeCell="K55" sqref="K55"/>
    </sheetView>
  </sheetViews>
  <sheetFormatPr defaultColWidth="8.265625" defaultRowHeight="13.9"/>
  <cols>
    <col min="1" max="1" width="8.265625" style="1"/>
    <col min="2" max="2" width="12.796875" style="1" customWidth="1"/>
    <col min="3" max="3" width="8.265625" style="1" hidden="1" customWidth="1"/>
    <col min="4" max="4" width="10.796875" style="1" customWidth="1"/>
    <col min="5" max="9" width="8.265625" style="1"/>
    <col min="10" max="10" width="8.3984375" style="1"/>
    <col min="11" max="11" width="10.46484375" style="1"/>
    <col min="12" max="16384" width="8.265625" style="1"/>
  </cols>
  <sheetData>
    <row r="1" spans="1:11">
      <c r="A1" s="2" t="s">
        <v>1</v>
      </c>
      <c r="B1" s="2" t="s">
        <v>116</v>
      </c>
      <c r="C1" s="2" t="s">
        <v>117</v>
      </c>
      <c r="D1" s="2"/>
      <c r="E1" s="2" t="s">
        <v>102</v>
      </c>
      <c r="F1" s="2" t="s">
        <v>103</v>
      </c>
      <c r="G1" s="2" t="s">
        <v>104</v>
      </c>
      <c r="H1" s="2" t="s">
        <v>105</v>
      </c>
      <c r="I1" s="3" t="s">
        <v>106</v>
      </c>
      <c r="J1" s="3" t="s">
        <v>107</v>
      </c>
      <c r="K1" s="2" t="s">
        <v>38</v>
      </c>
    </row>
    <row r="2" spans="1:11">
      <c r="A2" s="266">
        <v>1</v>
      </c>
      <c r="B2" s="266" t="s">
        <v>20</v>
      </c>
      <c r="C2" s="266"/>
      <c r="D2" s="4" t="s">
        <v>56</v>
      </c>
      <c r="E2" s="4">
        <v>203</v>
      </c>
      <c r="F2" s="4">
        <v>148</v>
      </c>
      <c r="G2" s="4">
        <v>167</v>
      </c>
      <c r="H2" s="4">
        <v>102</v>
      </c>
      <c r="I2" s="4">
        <v>110</v>
      </c>
      <c r="J2" s="4">
        <v>38</v>
      </c>
      <c r="K2" s="4">
        <f>SUM(E2:J2)</f>
        <v>768</v>
      </c>
    </row>
    <row r="3" spans="1:11">
      <c r="A3" s="267"/>
      <c r="B3" s="267"/>
      <c r="C3" s="267"/>
      <c r="D3" s="4" t="s">
        <v>118</v>
      </c>
      <c r="E3" s="4">
        <v>295</v>
      </c>
      <c r="F3" s="4">
        <v>367</v>
      </c>
      <c r="G3" s="4">
        <v>202</v>
      </c>
      <c r="H3" s="4">
        <v>98</v>
      </c>
      <c r="I3" s="4">
        <v>87</v>
      </c>
      <c r="J3" s="4">
        <v>66</v>
      </c>
      <c r="K3" s="4">
        <f t="shared" ref="K3:K34" si="0">SUM(E3:J3)</f>
        <v>1115</v>
      </c>
    </row>
    <row r="4" spans="1:11">
      <c r="A4" s="268"/>
      <c r="B4" s="268"/>
      <c r="C4" s="268"/>
      <c r="D4" s="4" t="s">
        <v>119</v>
      </c>
      <c r="E4" s="4">
        <v>112378</v>
      </c>
      <c r="F4" s="4">
        <v>76252.100000000006</v>
      </c>
      <c r="G4" s="4">
        <v>42298</v>
      </c>
      <c r="H4" s="4">
        <v>19166.599999999999</v>
      </c>
      <c r="I4" s="4">
        <v>24770.6</v>
      </c>
      <c r="J4" s="4">
        <v>15124.4</v>
      </c>
      <c r="K4" s="4">
        <f t="shared" si="0"/>
        <v>289989.7</v>
      </c>
    </row>
    <row r="5" spans="1:11">
      <c r="A5" s="266">
        <v>2</v>
      </c>
      <c r="B5" s="266" t="s">
        <v>25</v>
      </c>
      <c r="C5" s="266"/>
      <c r="D5" s="4" t="s">
        <v>56</v>
      </c>
      <c r="E5" s="4">
        <v>65</v>
      </c>
      <c r="F5" s="4">
        <v>45</v>
      </c>
      <c r="G5" s="4">
        <v>96</v>
      </c>
      <c r="H5" s="4">
        <v>74</v>
      </c>
      <c r="I5" s="4">
        <v>82</v>
      </c>
      <c r="J5" s="4">
        <v>37</v>
      </c>
      <c r="K5" s="4">
        <f t="shared" si="0"/>
        <v>399</v>
      </c>
    </row>
    <row r="6" spans="1:11">
      <c r="A6" s="267"/>
      <c r="B6" s="267"/>
      <c r="C6" s="267"/>
      <c r="D6" s="4" t="s">
        <v>118</v>
      </c>
      <c r="E6" s="4">
        <v>58</v>
      </c>
      <c r="F6" s="4">
        <v>58</v>
      </c>
      <c r="G6" s="4">
        <v>93</v>
      </c>
      <c r="H6" s="4">
        <v>80</v>
      </c>
      <c r="I6" s="4">
        <v>83</v>
      </c>
      <c r="J6" s="4">
        <v>34</v>
      </c>
      <c r="K6" s="4">
        <f t="shared" si="0"/>
        <v>406</v>
      </c>
    </row>
    <row r="7" spans="1:11">
      <c r="A7" s="268"/>
      <c r="B7" s="268"/>
      <c r="C7" s="268"/>
      <c r="D7" s="4" t="s">
        <v>119</v>
      </c>
      <c r="E7" s="4">
        <v>0</v>
      </c>
      <c r="F7" s="4">
        <v>0</v>
      </c>
      <c r="G7" s="4">
        <v>15070.7</v>
      </c>
      <c r="H7" s="4">
        <v>4592</v>
      </c>
      <c r="I7" s="4">
        <v>15729</v>
      </c>
      <c r="J7" s="4">
        <v>7778</v>
      </c>
      <c r="K7" s="4">
        <f t="shared" si="0"/>
        <v>43169.7</v>
      </c>
    </row>
    <row r="8" spans="1:11">
      <c r="A8" s="266">
        <v>3</v>
      </c>
      <c r="B8" s="266" t="s">
        <v>27</v>
      </c>
      <c r="C8" s="266"/>
      <c r="D8" s="4" t="s">
        <v>56</v>
      </c>
      <c r="E8" s="4"/>
      <c r="F8" s="4"/>
      <c r="G8" s="4">
        <v>56</v>
      </c>
      <c r="H8" s="4">
        <v>52</v>
      </c>
      <c r="I8" s="5">
        <v>54</v>
      </c>
      <c r="J8" s="5">
        <v>62</v>
      </c>
      <c r="K8" s="4">
        <f t="shared" si="0"/>
        <v>224</v>
      </c>
    </row>
    <row r="9" spans="1:11">
      <c r="A9" s="267"/>
      <c r="B9" s="267"/>
      <c r="C9" s="267"/>
      <c r="D9" s="4" t="s">
        <v>118</v>
      </c>
      <c r="E9" s="4"/>
      <c r="F9" s="4"/>
      <c r="G9" s="4">
        <v>91</v>
      </c>
      <c r="H9" s="4">
        <v>64</v>
      </c>
      <c r="I9" s="5">
        <v>50</v>
      </c>
      <c r="J9" s="5">
        <v>94</v>
      </c>
      <c r="K9" s="4">
        <f t="shared" si="0"/>
        <v>299</v>
      </c>
    </row>
    <row r="10" spans="1:11">
      <c r="A10" s="268"/>
      <c r="B10" s="268"/>
      <c r="C10" s="268"/>
      <c r="D10" s="4" t="s">
        <v>119</v>
      </c>
      <c r="E10" s="4"/>
      <c r="F10" s="4"/>
      <c r="G10" s="4">
        <v>6374.27</v>
      </c>
      <c r="H10" s="4">
        <v>17748.599999999999</v>
      </c>
      <c r="I10" s="5">
        <v>19828.5</v>
      </c>
      <c r="J10" s="5">
        <v>8095.7</v>
      </c>
      <c r="K10" s="4">
        <f t="shared" si="0"/>
        <v>52047.07</v>
      </c>
    </row>
    <row r="11" spans="1:11">
      <c r="A11" s="266">
        <v>4</v>
      </c>
      <c r="B11" s="266" t="s">
        <v>26</v>
      </c>
      <c r="C11" s="266"/>
      <c r="D11" s="4" t="s">
        <v>56</v>
      </c>
      <c r="E11" s="4">
        <v>76</v>
      </c>
      <c r="F11" s="4">
        <v>50</v>
      </c>
      <c r="G11" s="4">
        <v>70</v>
      </c>
      <c r="H11" s="4">
        <v>62</v>
      </c>
      <c r="I11" s="4">
        <v>68</v>
      </c>
      <c r="J11" s="4">
        <v>24</v>
      </c>
      <c r="K11" s="4">
        <f t="shared" si="0"/>
        <v>350</v>
      </c>
    </row>
    <row r="12" spans="1:11">
      <c r="A12" s="267"/>
      <c r="B12" s="267"/>
      <c r="C12" s="267"/>
      <c r="D12" s="4" t="s">
        <v>118</v>
      </c>
      <c r="E12" s="4">
        <v>55</v>
      </c>
      <c r="F12" s="4">
        <v>30</v>
      </c>
      <c r="G12" s="4">
        <v>60</v>
      </c>
      <c r="H12" s="4">
        <v>60</v>
      </c>
      <c r="I12" s="4">
        <v>46</v>
      </c>
      <c r="J12" s="4">
        <v>18</v>
      </c>
      <c r="K12" s="4">
        <f t="shared" si="0"/>
        <v>269</v>
      </c>
    </row>
    <row r="13" spans="1:11">
      <c r="A13" s="268"/>
      <c r="B13" s="268"/>
      <c r="C13" s="268"/>
      <c r="D13" s="4" t="s">
        <v>119</v>
      </c>
      <c r="E13" s="4">
        <v>15000</v>
      </c>
      <c r="F13" s="4">
        <v>7000</v>
      </c>
      <c r="G13" s="4">
        <v>11500</v>
      </c>
      <c r="H13" s="4">
        <v>9600</v>
      </c>
      <c r="I13" s="4">
        <v>14100</v>
      </c>
      <c r="J13" s="4">
        <v>4000</v>
      </c>
      <c r="K13" s="4">
        <f t="shared" si="0"/>
        <v>61200</v>
      </c>
    </row>
    <row r="14" spans="1:11">
      <c r="A14" s="266">
        <v>5</v>
      </c>
      <c r="B14" s="266" t="s">
        <v>120</v>
      </c>
      <c r="C14" s="266"/>
      <c r="D14" s="4" t="s">
        <v>56</v>
      </c>
      <c r="E14" s="4">
        <v>87</v>
      </c>
      <c r="F14" s="4">
        <v>88</v>
      </c>
      <c r="G14" s="4">
        <v>79</v>
      </c>
      <c r="H14" s="4">
        <v>93</v>
      </c>
      <c r="I14" s="4">
        <v>90</v>
      </c>
      <c r="J14" s="4">
        <v>44</v>
      </c>
      <c r="K14" s="4">
        <f t="shared" si="0"/>
        <v>481</v>
      </c>
    </row>
    <row r="15" spans="1:11">
      <c r="A15" s="267"/>
      <c r="B15" s="267"/>
      <c r="C15" s="267"/>
      <c r="D15" s="4" t="s">
        <v>118</v>
      </c>
      <c r="E15" s="4">
        <v>103</v>
      </c>
      <c r="F15" s="4">
        <v>119</v>
      </c>
      <c r="G15" s="4">
        <v>131</v>
      </c>
      <c r="H15" s="4">
        <v>163</v>
      </c>
      <c r="I15" s="4">
        <v>129</v>
      </c>
      <c r="J15" s="4">
        <v>82</v>
      </c>
      <c r="K15" s="4">
        <f t="shared" si="0"/>
        <v>727</v>
      </c>
    </row>
    <row r="16" spans="1:11">
      <c r="A16" s="268"/>
      <c r="B16" s="268"/>
      <c r="C16" s="268"/>
      <c r="D16" s="4" t="s">
        <v>119</v>
      </c>
      <c r="E16" s="4">
        <v>62531.3</v>
      </c>
      <c r="F16" s="4">
        <v>26762.400000000001</v>
      </c>
      <c r="G16" s="4">
        <v>73590.7</v>
      </c>
      <c r="H16" s="4">
        <v>94677.8</v>
      </c>
      <c r="I16" s="4">
        <v>123493</v>
      </c>
      <c r="J16" s="4">
        <v>26978.799999999999</v>
      </c>
      <c r="K16" s="4">
        <f t="shared" si="0"/>
        <v>408034</v>
      </c>
    </row>
    <row r="17" spans="1:11">
      <c r="A17" s="266">
        <v>6</v>
      </c>
      <c r="B17" s="266" t="s">
        <v>22</v>
      </c>
      <c r="C17" s="266"/>
      <c r="D17" s="4" t="s">
        <v>56</v>
      </c>
      <c r="E17" s="4">
        <v>94</v>
      </c>
      <c r="F17" s="4">
        <v>97</v>
      </c>
      <c r="G17" s="4">
        <v>77</v>
      </c>
      <c r="H17" s="4">
        <v>97</v>
      </c>
      <c r="I17" s="4">
        <v>115</v>
      </c>
      <c r="J17" s="4">
        <v>38</v>
      </c>
      <c r="K17" s="4">
        <f t="shared" si="0"/>
        <v>518</v>
      </c>
    </row>
    <row r="18" spans="1:11">
      <c r="A18" s="267"/>
      <c r="B18" s="267"/>
      <c r="C18" s="267"/>
      <c r="D18" s="4" t="s">
        <v>118</v>
      </c>
      <c r="E18" s="4">
        <v>172</v>
      </c>
      <c r="F18" s="4">
        <v>136</v>
      </c>
      <c r="G18" s="4">
        <v>218</v>
      </c>
      <c r="H18" s="4">
        <v>197</v>
      </c>
      <c r="I18" s="4">
        <v>165</v>
      </c>
      <c r="J18" s="4">
        <v>75</v>
      </c>
      <c r="K18" s="4">
        <f t="shared" si="0"/>
        <v>963</v>
      </c>
    </row>
    <row r="19" spans="1:11">
      <c r="A19" s="268"/>
      <c r="B19" s="268"/>
      <c r="C19" s="268"/>
      <c r="D19" s="4" t="s">
        <v>119</v>
      </c>
      <c r="E19" s="4">
        <v>98074.3</v>
      </c>
      <c r="F19" s="4">
        <v>68187.3</v>
      </c>
      <c r="G19" s="4">
        <v>73233.3</v>
      </c>
      <c r="H19" s="4">
        <v>67492.100000000006</v>
      </c>
      <c r="I19" s="4">
        <v>47990</v>
      </c>
      <c r="J19" s="4">
        <v>35970.400000000001</v>
      </c>
      <c r="K19" s="4">
        <f t="shared" si="0"/>
        <v>390947.4</v>
      </c>
    </row>
    <row r="20" spans="1:11">
      <c r="A20" s="266">
        <v>7</v>
      </c>
      <c r="B20" s="266" t="s">
        <v>121</v>
      </c>
      <c r="C20" s="266"/>
      <c r="D20" s="4" t="s">
        <v>56</v>
      </c>
      <c r="E20" s="4">
        <v>74</v>
      </c>
      <c r="F20" s="4">
        <v>56</v>
      </c>
      <c r="G20" s="4">
        <v>66</v>
      </c>
      <c r="H20" s="4">
        <v>111</v>
      </c>
      <c r="I20" s="4">
        <v>89</v>
      </c>
      <c r="J20" s="4">
        <v>35</v>
      </c>
      <c r="K20" s="4">
        <f t="shared" si="0"/>
        <v>431</v>
      </c>
    </row>
    <row r="21" spans="1:11">
      <c r="A21" s="267"/>
      <c r="B21" s="267"/>
      <c r="C21" s="267"/>
      <c r="D21" s="4" t="s">
        <v>118</v>
      </c>
      <c r="E21" s="4">
        <v>59</v>
      </c>
      <c r="F21" s="4">
        <v>54</v>
      </c>
      <c r="G21" s="4">
        <v>110</v>
      </c>
      <c r="H21" s="4">
        <v>136</v>
      </c>
      <c r="I21" s="4">
        <v>118</v>
      </c>
      <c r="J21" s="4">
        <v>119</v>
      </c>
      <c r="K21" s="4">
        <f t="shared" si="0"/>
        <v>596</v>
      </c>
    </row>
    <row r="22" spans="1:11">
      <c r="A22" s="268"/>
      <c r="B22" s="268"/>
      <c r="C22" s="268"/>
      <c r="D22" s="4" t="s">
        <v>119</v>
      </c>
      <c r="E22" s="4">
        <v>60542.3</v>
      </c>
      <c r="F22" s="4">
        <v>38282.400000000001</v>
      </c>
      <c r="G22" s="4">
        <v>35182</v>
      </c>
      <c r="H22" s="4">
        <v>84894.7</v>
      </c>
      <c r="I22" s="4">
        <v>39428.6</v>
      </c>
      <c r="J22" s="4">
        <v>25263.8</v>
      </c>
      <c r="K22" s="4">
        <f t="shared" si="0"/>
        <v>283593.8</v>
      </c>
    </row>
    <row r="23" spans="1:11">
      <c r="A23" s="266">
        <v>8</v>
      </c>
      <c r="B23" s="266" t="s">
        <v>122</v>
      </c>
      <c r="C23" s="266"/>
      <c r="D23" s="4" t="s">
        <v>56</v>
      </c>
      <c r="E23" s="4">
        <v>76</v>
      </c>
      <c r="F23" s="4">
        <v>61</v>
      </c>
      <c r="G23" s="4">
        <v>63</v>
      </c>
      <c r="H23" s="4">
        <v>69</v>
      </c>
      <c r="I23" s="4">
        <v>57</v>
      </c>
      <c r="J23" s="4">
        <v>39</v>
      </c>
      <c r="K23" s="4">
        <f t="shared" si="0"/>
        <v>365</v>
      </c>
    </row>
    <row r="24" spans="1:11">
      <c r="A24" s="267"/>
      <c r="B24" s="267"/>
      <c r="C24" s="267"/>
      <c r="D24" s="4" t="s">
        <v>118</v>
      </c>
      <c r="E24" s="4">
        <v>72</v>
      </c>
      <c r="F24" s="4">
        <v>83</v>
      </c>
      <c r="G24" s="4">
        <v>91</v>
      </c>
      <c r="H24" s="4">
        <v>103</v>
      </c>
      <c r="I24" s="4">
        <v>147</v>
      </c>
      <c r="J24" s="4">
        <v>70</v>
      </c>
      <c r="K24" s="4">
        <f t="shared" si="0"/>
        <v>566</v>
      </c>
    </row>
    <row r="25" spans="1:11">
      <c r="A25" s="268"/>
      <c r="B25" s="268"/>
      <c r="C25" s="268"/>
      <c r="D25" s="4" t="s">
        <v>119</v>
      </c>
      <c r="E25" s="4">
        <v>35855</v>
      </c>
      <c r="F25" s="4">
        <v>19537.400000000001</v>
      </c>
      <c r="G25" s="4">
        <v>21355.8</v>
      </c>
      <c r="H25" s="4">
        <v>26237</v>
      </c>
      <c r="I25" s="4">
        <v>20394.5</v>
      </c>
      <c r="J25" s="4">
        <v>13965.1</v>
      </c>
      <c r="K25" s="4">
        <f t="shared" si="0"/>
        <v>137344.79999999999</v>
      </c>
    </row>
    <row r="26" spans="1:11">
      <c r="A26" s="266">
        <v>9</v>
      </c>
      <c r="B26" s="266" t="s">
        <v>123</v>
      </c>
      <c r="C26" s="266"/>
      <c r="D26" s="4" t="s">
        <v>56</v>
      </c>
      <c r="E26" s="4">
        <v>92</v>
      </c>
      <c r="F26" s="4">
        <v>42</v>
      </c>
      <c r="G26" s="4">
        <v>50</v>
      </c>
      <c r="H26" s="4">
        <v>73</v>
      </c>
      <c r="I26" s="4">
        <v>67</v>
      </c>
      <c r="J26" s="4">
        <v>33</v>
      </c>
      <c r="K26" s="4">
        <f t="shared" si="0"/>
        <v>357</v>
      </c>
    </row>
    <row r="27" spans="1:11">
      <c r="A27" s="267"/>
      <c r="B27" s="267"/>
      <c r="C27" s="267"/>
      <c r="D27" s="4" t="s">
        <v>118</v>
      </c>
      <c r="E27" s="4">
        <v>75</v>
      </c>
      <c r="F27" s="4">
        <v>30</v>
      </c>
      <c r="G27" s="4">
        <v>81</v>
      </c>
      <c r="H27" s="4">
        <v>84</v>
      </c>
      <c r="I27" s="4">
        <v>99</v>
      </c>
      <c r="J27" s="4">
        <v>34</v>
      </c>
      <c r="K27" s="4">
        <f t="shared" si="0"/>
        <v>403</v>
      </c>
    </row>
    <row r="28" spans="1:11">
      <c r="A28" s="268"/>
      <c r="B28" s="268"/>
      <c r="C28" s="268"/>
      <c r="D28" s="4" t="s">
        <v>119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f t="shared" si="0"/>
        <v>0</v>
      </c>
    </row>
    <row r="29" spans="1:11">
      <c r="A29" s="266">
        <v>10</v>
      </c>
      <c r="B29" s="266" t="s">
        <v>29</v>
      </c>
      <c r="C29" s="266"/>
      <c r="D29" s="4" t="s">
        <v>56</v>
      </c>
      <c r="E29" s="4">
        <v>70</v>
      </c>
      <c r="F29" s="4">
        <v>61</v>
      </c>
      <c r="G29" s="4">
        <v>83</v>
      </c>
      <c r="H29" s="4">
        <v>75</v>
      </c>
      <c r="I29" s="4">
        <v>66</v>
      </c>
      <c r="J29" s="4">
        <v>32</v>
      </c>
      <c r="K29" s="4">
        <f t="shared" si="0"/>
        <v>387</v>
      </c>
    </row>
    <row r="30" spans="1:11">
      <c r="A30" s="267"/>
      <c r="B30" s="267"/>
      <c r="C30" s="267"/>
      <c r="D30" s="4" t="s">
        <v>118</v>
      </c>
      <c r="E30" s="4">
        <v>66</v>
      </c>
      <c r="F30" s="4">
        <v>52</v>
      </c>
      <c r="G30" s="4">
        <v>91</v>
      </c>
      <c r="H30" s="4">
        <v>84</v>
      </c>
      <c r="I30" s="4">
        <v>91</v>
      </c>
      <c r="J30" s="4">
        <v>65</v>
      </c>
      <c r="K30" s="4">
        <f t="shared" si="0"/>
        <v>449</v>
      </c>
    </row>
    <row r="31" spans="1:11">
      <c r="A31" s="268"/>
      <c r="B31" s="268"/>
      <c r="C31" s="268"/>
      <c r="D31" s="4" t="s">
        <v>119</v>
      </c>
      <c r="E31" s="4">
        <v>56953.3</v>
      </c>
      <c r="F31" s="4">
        <v>57651.5</v>
      </c>
      <c r="G31" s="4">
        <v>91765.9</v>
      </c>
      <c r="H31" s="4">
        <v>64921.5</v>
      </c>
      <c r="I31" s="4">
        <v>119690</v>
      </c>
      <c r="J31" s="4">
        <v>47521.7</v>
      </c>
      <c r="K31" s="4">
        <f t="shared" si="0"/>
        <v>438503.9</v>
      </c>
    </row>
    <row r="32" spans="1:11">
      <c r="A32" s="266">
        <v>11</v>
      </c>
      <c r="B32" s="266" t="s">
        <v>30</v>
      </c>
      <c r="C32" s="266"/>
      <c r="D32" s="4" t="s">
        <v>56</v>
      </c>
      <c r="E32" s="4">
        <v>60</v>
      </c>
      <c r="F32" s="4">
        <v>58</v>
      </c>
      <c r="G32" s="4">
        <v>89</v>
      </c>
      <c r="H32" s="4">
        <v>120</v>
      </c>
      <c r="I32" s="4">
        <v>111</v>
      </c>
      <c r="J32" s="4">
        <v>50</v>
      </c>
      <c r="K32" s="4">
        <f t="shared" si="0"/>
        <v>488</v>
      </c>
    </row>
    <row r="33" spans="1:11">
      <c r="A33" s="267"/>
      <c r="B33" s="267"/>
      <c r="C33" s="267"/>
      <c r="D33" s="4" t="s">
        <v>118</v>
      </c>
      <c r="E33" s="4">
        <v>80</v>
      </c>
      <c r="F33" s="4">
        <v>88</v>
      </c>
      <c r="G33" s="4">
        <v>99</v>
      </c>
      <c r="H33" s="4">
        <v>119</v>
      </c>
      <c r="I33" s="4">
        <v>116</v>
      </c>
      <c r="J33" s="4">
        <v>50</v>
      </c>
      <c r="K33" s="4">
        <f t="shared" si="0"/>
        <v>552</v>
      </c>
    </row>
    <row r="34" spans="1:11">
      <c r="A34" s="268"/>
      <c r="B34" s="268"/>
      <c r="C34" s="268"/>
      <c r="D34" s="4" t="s">
        <v>119</v>
      </c>
      <c r="E34" s="4">
        <v>69574</v>
      </c>
      <c r="F34" s="4">
        <v>30054.799999999999</v>
      </c>
      <c r="G34" s="4">
        <v>70478</v>
      </c>
      <c r="H34" s="4">
        <v>59715</v>
      </c>
      <c r="I34" s="4">
        <v>112219</v>
      </c>
      <c r="J34" s="4">
        <v>41267</v>
      </c>
      <c r="K34" s="4">
        <f t="shared" si="0"/>
        <v>383307.8</v>
      </c>
    </row>
    <row r="35" spans="1:11">
      <c r="A35" s="266">
        <v>12</v>
      </c>
      <c r="B35" s="266" t="s">
        <v>92</v>
      </c>
      <c r="C35" s="266"/>
      <c r="D35" s="4" t="s">
        <v>56</v>
      </c>
      <c r="E35" s="4">
        <v>46</v>
      </c>
      <c r="F35" s="4">
        <v>48</v>
      </c>
      <c r="G35" s="4">
        <v>60</v>
      </c>
      <c r="H35" s="4">
        <v>54</v>
      </c>
      <c r="I35" s="4">
        <v>97</v>
      </c>
      <c r="J35" s="4">
        <v>16</v>
      </c>
      <c r="K35" s="4">
        <f t="shared" ref="K35:K55" si="1">SUM(E35:J35)</f>
        <v>321</v>
      </c>
    </row>
    <row r="36" spans="1:11">
      <c r="A36" s="267"/>
      <c r="B36" s="267"/>
      <c r="C36" s="267"/>
      <c r="D36" s="4" t="s">
        <v>118</v>
      </c>
      <c r="E36" s="4">
        <v>121</v>
      </c>
      <c r="F36" s="4">
        <v>156</v>
      </c>
      <c r="G36" s="4">
        <v>241</v>
      </c>
      <c r="H36" s="4">
        <v>83</v>
      </c>
      <c r="I36" s="4">
        <v>121</v>
      </c>
      <c r="J36" s="4">
        <v>24</v>
      </c>
      <c r="K36" s="4">
        <f t="shared" si="1"/>
        <v>746</v>
      </c>
    </row>
    <row r="37" spans="1:11">
      <c r="A37" s="268"/>
      <c r="B37" s="268"/>
      <c r="C37" s="268"/>
      <c r="D37" s="4" t="s">
        <v>119</v>
      </c>
      <c r="E37" s="4">
        <v>28439.9</v>
      </c>
      <c r="F37" s="4">
        <v>20466.900000000001</v>
      </c>
      <c r="G37" s="4">
        <v>28648.6</v>
      </c>
      <c r="H37" s="4">
        <v>31163.200000000001</v>
      </c>
      <c r="I37" s="4">
        <v>37819</v>
      </c>
      <c r="J37" s="4">
        <v>15266.6</v>
      </c>
      <c r="K37" s="4">
        <f t="shared" si="1"/>
        <v>161804.20000000001</v>
      </c>
    </row>
    <row r="38" spans="1:11">
      <c r="A38" s="266">
        <v>13</v>
      </c>
      <c r="B38" s="266" t="s">
        <v>124</v>
      </c>
      <c r="C38" s="266"/>
      <c r="D38" s="4" t="s">
        <v>56</v>
      </c>
      <c r="E38" s="4">
        <v>46</v>
      </c>
      <c r="F38" s="4">
        <v>36</v>
      </c>
      <c r="G38" s="4">
        <v>52</v>
      </c>
      <c r="H38" s="4">
        <v>73</v>
      </c>
      <c r="I38" s="4">
        <v>73</v>
      </c>
      <c r="J38" s="4">
        <v>24</v>
      </c>
      <c r="K38" s="4">
        <f t="shared" si="1"/>
        <v>304</v>
      </c>
    </row>
    <row r="39" spans="1:11">
      <c r="A39" s="267"/>
      <c r="B39" s="267"/>
      <c r="C39" s="267"/>
      <c r="D39" s="4" t="s">
        <v>118</v>
      </c>
      <c r="E39" s="4">
        <v>74</v>
      </c>
      <c r="F39" s="4">
        <v>95</v>
      </c>
      <c r="G39" s="4">
        <v>146</v>
      </c>
      <c r="H39" s="4">
        <v>162</v>
      </c>
      <c r="I39" s="4">
        <v>143</v>
      </c>
      <c r="J39" s="4">
        <v>61</v>
      </c>
      <c r="K39" s="4">
        <f t="shared" si="1"/>
        <v>681</v>
      </c>
    </row>
    <row r="40" spans="1:11">
      <c r="A40" s="268"/>
      <c r="B40" s="268"/>
      <c r="C40" s="268"/>
      <c r="D40" s="4" t="s">
        <v>119</v>
      </c>
      <c r="E40" s="4">
        <v>42290.1</v>
      </c>
      <c r="F40" s="4">
        <v>7603.6</v>
      </c>
      <c r="G40" s="4">
        <v>38033.199999999997</v>
      </c>
      <c r="H40" s="4">
        <v>40025.9</v>
      </c>
      <c r="I40" s="4">
        <v>26141.3</v>
      </c>
      <c r="J40" s="4">
        <v>9689.19</v>
      </c>
      <c r="K40" s="4">
        <f t="shared" si="1"/>
        <v>163783.29</v>
      </c>
    </row>
    <row r="41" spans="1:11">
      <c r="A41" s="266">
        <v>14</v>
      </c>
      <c r="B41" s="266" t="s">
        <v>24</v>
      </c>
      <c r="C41" s="266"/>
      <c r="D41" s="4" t="s">
        <v>56</v>
      </c>
      <c r="E41" s="4">
        <v>35</v>
      </c>
      <c r="F41" s="4">
        <v>57</v>
      </c>
      <c r="G41" s="4">
        <v>99</v>
      </c>
      <c r="H41" s="4">
        <v>96</v>
      </c>
      <c r="I41" s="4">
        <v>96</v>
      </c>
      <c r="J41" s="4">
        <v>40</v>
      </c>
      <c r="K41" s="4">
        <f t="shared" si="1"/>
        <v>423</v>
      </c>
    </row>
    <row r="42" spans="1:11">
      <c r="A42" s="267"/>
      <c r="B42" s="267"/>
      <c r="C42" s="267"/>
      <c r="D42" s="4" t="s">
        <v>118</v>
      </c>
      <c r="E42" s="4">
        <v>35</v>
      </c>
      <c r="F42" s="4">
        <v>83</v>
      </c>
      <c r="G42" s="4">
        <v>66</v>
      </c>
      <c r="H42" s="4">
        <v>64</v>
      </c>
      <c r="I42" s="4">
        <v>60</v>
      </c>
      <c r="J42" s="4">
        <v>24</v>
      </c>
      <c r="K42" s="4">
        <f t="shared" si="1"/>
        <v>332</v>
      </c>
    </row>
    <row r="43" spans="1:11">
      <c r="A43" s="268"/>
      <c r="B43" s="268"/>
      <c r="C43" s="268"/>
      <c r="D43" s="4" t="s">
        <v>119</v>
      </c>
      <c r="E43" s="4">
        <v>4280.2299999999996</v>
      </c>
      <c r="F43" s="4">
        <v>25197</v>
      </c>
      <c r="G43" s="4">
        <v>29648</v>
      </c>
      <c r="H43" s="4">
        <v>32341.200000000001</v>
      </c>
      <c r="I43" s="4">
        <v>29621</v>
      </c>
      <c r="J43" s="4">
        <v>11081</v>
      </c>
      <c r="K43" s="4">
        <f t="shared" si="1"/>
        <v>132168.43</v>
      </c>
    </row>
    <row r="44" spans="1:11">
      <c r="A44" s="266">
        <v>15</v>
      </c>
      <c r="B44" s="266" t="s">
        <v>37</v>
      </c>
      <c r="C44" s="266"/>
      <c r="D44" s="4" t="s">
        <v>56</v>
      </c>
      <c r="E44" s="4"/>
      <c r="F44" s="4"/>
      <c r="G44" s="4"/>
      <c r="H44" s="4"/>
      <c r="I44" s="4">
        <v>53</v>
      </c>
      <c r="J44" s="4">
        <v>35</v>
      </c>
      <c r="K44" s="4">
        <f t="shared" si="1"/>
        <v>88</v>
      </c>
    </row>
    <row r="45" spans="1:11">
      <c r="A45" s="267"/>
      <c r="B45" s="267"/>
      <c r="C45" s="267"/>
      <c r="D45" s="4" t="s">
        <v>118</v>
      </c>
      <c r="E45" s="4"/>
      <c r="F45" s="4"/>
      <c r="G45" s="4"/>
      <c r="H45" s="4"/>
      <c r="I45" s="4">
        <v>53</v>
      </c>
      <c r="J45" s="4">
        <v>27</v>
      </c>
      <c r="K45" s="4">
        <f t="shared" si="1"/>
        <v>80</v>
      </c>
    </row>
    <row r="46" spans="1:11">
      <c r="A46" s="268"/>
      <c r="B46" s="268"/>
      <c r="C46" s="268"/>
      <c r="D46" s="4" t="s">
        <v>119</v>
      </c>
      <c r="E46" s="4"/>
      <c r="F46" s="4"/>
      <c r="G46" s="4"/>
      <c r="H46" s="4"/>
      <c r="I46" s="4">
        <v>20438</v>
      </c>
      <c r="J46" s="4">
        <v>5242.32</v>
      </c>
      <c r="K46" s="4">
        <f t="shared" si="1"/>
        <v>25680.32</v>
      </c>
    </row>
    <row r="47" spans="1:11">
      <c r="A47" s="266">
        <v>16</v>
      </c>
      <c r="B47" s="266" t="s">
        <v>28</v>
      </c>
      <c r="C47" s="266"/>
      <c r="D47" s="4" t="s">
        <v>56</v>
      </c>
      <c r="E47" s="4">
        <v>30</v>
      </c>
      <c r="F47" s="4">
        <v>21</v>
      </c>
      <c r="G47" s="4">
        <v>78</v>
      </c>
      <c r="H47" s="4">
        <v>12</v>
      </c>
      <c r="I47" s="4">
        <v>18</v>
      </c>
      <c r="J47" s="4">
        <v>0</v>
      </c>
      <c r="K47" s="4">
        <f t="shared" si="1"/>
        <v>159</v>
      </c>
    </row>
    <row r="48" spans="1:11">
      <c r="A48" s="267"/>
      <c r="B48" s="267"/>
      <c r="C48" s="267"/>
      <c r="D48" s="4" t="s">
        <v>118</v>
      </c>
      <c r="E48" s="4">
        <v>48</v>
      </c>
      <c r="F48" s="4">
        <v>59</v>
      </c>
      <c r="G48" s="4">
        <v>101</v>
      </c>
      <c r="H48" s="4">
        <v>76</v>
      </c>
      <c r="I48" s="4">
        <v>58</v>
      </c>
      <c r="J48" s="4">
        <v>38</v>
      </c>
      <c r="K48" s="4">
        <f t="shared" si="1"/>
        <v>380</v>
      </c>
    </row>
    <row r="49" spans="1:11">
      <c r="A49" s="268"/>
      <c r="B49" s="268"/>
      <c r="C49" s="268"/>
      <c r="D49" s="4" t="s">
        <v>119</v>
      </c>
      <c r="E49" s="4">
        <v>20584</v>
      </c>
      <c r="F49" s="4">
        <v>13575</v>
      </c>
      <c r="G49" s="4">
        <v>52867</v>
      </c>
      <c r="H49" s="4">
        <v>27611</v>
      </c>
      <c r="I49" s="4">
        <v>13811</v>
      </c>
      <c r="J49" s="4">
        <v>8465</v>
      </c>
      <c r="K49" s="4">
        <f t="shared" si="1"/>
        <v>136913</v>
      </c>
    </row>
    <row r="50" spans="1:11">
      <c r="A50" s="266">
        <v>17</v>
      </c>
      <c r="B50" s="266" t="s">
        <v>23</v>
      </c>
      <c r="C50" s="266"/>
      <c r="D50" s="4" t="s">
        <v>56</v>
      </c>
      <c r="E50" s="4">
        <v>141</v>
      </c>
      <c r="F50" s="4">
        <v>123</v>
      </c>
      <c r="G50" s="4">
        <v>108</v>
      </c>
      <c r="H50" s="4">
        <v>135</v>
      </c>
      <c r="I50" s="4">
        <v>143</v>
      </c>
      <c r="J50" s="4">
        <v>90</v>
      </c>
      <c r="K50" s="4">
        <f t="shared" si="1"/>
        <v>740</v>
      </c>
    </row>
    <row r="51" spans="1:11">
      <c r="A51" s="267"/>
      <c r="B51" s="267"/>
      <c r="C51" s="267"/>
      <c r="D51" s="4" t="s">
        <v>118</v>
      </c>
      <c r="E51" s="4">
        <v>137</v>
      </c>
      <c r="F51" s="4">
        <v>113</v>
      </c>
      <c r="G51" s="4">
        <v>105</v>
      </c>
      <c r="H51" s="4">
        <v>132</v>
      </c>
      <c r="I51" s="4">
        <v>151</v>
      </c>
      <c r="J51" s="4">
        <v>84</v>
      </c>
      <c r="K51" s="4">
        <f t="shared" si="1"/>
        <v>722</v>
      </c>
    </row>
    <row r="52" spans="1:11">
      <c r="A52" s="268"/>
      <c r="B52" s="268"/>
      <c r="C52" s="268"/>
      <c r="D52" s="4" t="s">
        <v>119</v>
      </c>
      <c r="E52" s="4">
        <v>51467</v>
      </c>
      <c r="F52" s="4">
        <v>21695.8</v>
      </c>
      <c r="G52" s="4">
        <v>69662.100000000006</v>
      </c>
      <c r="H52" s="4">
        <v>31248.6</v>
      </c>
      <c r="I52" s="4">
        <v>45182</v>
      </c>
      <c r="J52" s="4">
        <v>35458</v>
      </c>
      <c r="K52" s="4">
        <f t="shared" si="1"/>
        <v>254713.5</v>
      </c>
    </row>
    <row r="53" spans="1:11">
      <c r="A53" s="266">
        <v>18</v>
      </c>
      <c r="B53" s="266" t="s">
        <v>32</v>
      </c>
      <c r="C53" s="266"/>
      <c r="D53" s="4" t="s">
        <v>56</v>
      </c>
      <c r="E53" s="4">
        <v>52</v>
      </c>
      <c r="F53" s="4">
        <v>46</v>
      </c>
      <c r="G53" s="4">
        <v>44</v>
      </c>
      <c r="H53" s="4">
        <v>58</v>
      </c>
      <c r="I53" s="4">
        <v>52</v>
      </c>
      <c r="J53" s="4">
        <v>28</v>
      </c>
      <c r="K53" s="4">
        <f t="shared" si="1"/>
        <v>280</v>
      </c>
    </row>
    <row r="54" spans="1:11">
      <c r="A54" s="267"/>
      <c r="B54" s="267"/>
      <c r="C54" s="267"/>
      <c r="D54" s="4" t="s">
        <v>118</v>
      </c>
      <c r="E54" s="4">
        <v>143</v>
      </c>
      <c r="F54" s="4">
        <v>112</v>
      </c>
      <c r="G54" s="4">
        <v>163</v>
      </c>
      <c r="H54" s="4">
        <v>96</v>
      </c>
      <c r="I54" s="4">
        <v>142</v>
      </c>
      <c r="J54" s="4">
        <v>63</v>
      </c>
      <c r="K54" s="4">
        <f t="shared" si="1"/>
        <v>719</v>
      </c>
    </row>
    <row r="55" spans="1:11">
      <c r="A55" s="268"/>
      <c r="B55" s="268"/>
      <c r="C55" s="268"/>
      <c r="D55" s="4" t="s">
        <v>119</v>
      </c>
      <c r="E55" s="4">
        <v>34115.199999999997</v>
      </c>
      <c r="F55" s="4">
        <v>15821.5</v>
      </c>
      <c r="G55" s="4">
        <v>27175.8</v>
      </c>
      <c r="H55" s="4">
        <v>37993.5</v>
      </c>
      <c r="I55" s="4">
        <v>31541.59</v>
      </c>
      <c r="J55" s="4">
        <v>18154</v>
      </c>
      <c r="K55" s="4">
        <f t="shared" si="1"/>
        <v>164801.59</v>
      </c>
    </row>
  </sheetData>
  <mergeCells count="54">
    <mergeCell ref="C47:C49"/>
    <mergeCell ref="C50:C52"/>
    <mergeCell ref="C53:C55"/>
    <mergeCell ref="C32:C34"/>
    <mergeCell ref="C35:C37"/>
    <mergeCell ref="C38:C40"/>
    <mergeCell ref="C41:C43"/>
    <mergeCell ref="C44:C46"/>
    <mergeCell ref="C17:C19"/>
    <mergeCell ref="C20:C22"/>
    <mergeCell ref="C23:C25"/>
    <mergeCell ref="C26:C28"/>
    <mergeCell ref="C29:C31"/>
    <mergeCell ref="C2:C4"/>
    <mergeCell ref="C5:C7"/>
    <mergeCell ref="C8:C10"/>
    <mergeCell ref="C11:C13"/>
    <mergeCell ref="C14:C16"/>
    <mergeCell ref="B41:B43"/>
    <mergeCell ref="B44:B46"/>
    <mergeCell ref="B47:B49"/>
    <mergeCell ref="B50:B52"/>
    <mergeCell ref="B53:B55"/>
    <mergeCell ref="A47:A49"/>
    <mergeCell ref="A50:A52"/>
    <mergeCell ref="A53:A55"/>
    <mergeCell ref="B2:B4"/>
    <mergeCell ref="B5:B7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A32:A34"/>
    <mergeCell ref="A35:A37"/>
    <mergeCell ref="A38:A40"/>
    <mergeCell ref="A41:A43"/>
    <mergeCell ref="A44:A46"/>
    <mergeCell ref="A17:A19"/>
    <mergeCell ref="A20:A22"/>
    <mergeCell ref="A23:A25"/>
    <mergeCell ref="A26:A28"/>
    <mergeCell ref="A29:A31"/>
    <mergeCell ref="A2:A4"/>
    <mergeCell ref="A5:A7"/>
    <mergeCell ref="A8:A10"/>
    <mergeCell ref="A11:A13"/>
    <mergeCell ref="A14:A16"/>
  </mergeCells>
  <phoneticPr fontId="27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目标数据</vt:lpstr>
      <vt:lpstr>核心指标进度表</vt:lpstr>
      <vt:lpstr>总表-数据收集</vt:lpstr>
      <vt:lpstr>数据2</vt:lpstr>
      <vt:lpstr>周数据对比1</vt:lpstr>
      <vt:lpstr>周数据对比2</vt:lpstr>
      <vt:lpstr>2026月度数据对比</vt:lpstr>
      <vt:lpstr>数据明细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林清麟</dc:creator>
  <cp:lastModifiedBy>dq chen</cp:lastModifiedBy>
  <dcterms:created xsi:type="dcterms:W3CDTF">2015-06-05T18:19:00Z</dcterms:created>
  <dcterms:modified xsi:type="dcterms:W3CDTF">2026-06-16T01:11:56Z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9BB129844E7F436FBECF146B6892DB97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