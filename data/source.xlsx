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 tabRatio="822" firstSheet="2" activeTab="2"/>
  </bookViews>
  <sheets>
    <sheet name="目标数据" sheetId="4" state="hidden" r:id="rId1"/>
    <sheet name="核心指标进度表" sheetId="3" state="hidden" r:id="rId2"/>
    <sheet name="总表-数据收集" sheetId="2" r:id="rId3"/>
    <sheet name="数据2" sheetId="9" state="hidden" r:id="rId4"/>
    <sheet name="周数据对比1" sheetId="5" state="hidden" r:id="rId5"/>
    <sheet name="周数据对比2" sheetId="10" state="hidden" r:id="rId6"/>
    <sheet name="2026月度数据对比" sheetId="8" state="hidden" r:id="rId7"/>
    <sheet name="数据明细" sheetId="11" r:id="rId8"/>
  </sheets>
  <externalReferences>
    <externalReference r:id="rId9"/>
    <externalReference r:id="rId10"/>
    <externalReference r:id="rId11"/>
    <externalReference r:id="rId12"/>
  </externalReferences>
  <definedNames>
    <definedName name="EXCEL">IF([1]呈现!$D$2&gt;0,[1]辅助!$A$1,IF([1]呈现!$D$2&lt;0,[1]辅助!$A$2,[1]辅助!$A$3))</definedName>
    <definedName name="PPT">IF([1]呈现!$D$3&gt;0,[1]辅助!$A$1,IF([1]呈现!$D$3&lt;0,[1]辅助!$A$2,[1]辅助!$A$3))</definedName>
    <definedName name="_xlnm._FilterDatabase" localSheetId="2" hidden="1">'总表-数据收集'!$A$1:$EX$23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<sst xmlns="http://schemas.openxmlformats.org/spreadsheetml/2006/main" count="1227" uniqueCount="135">
  <si>
    <t>骏延集团2026年每月新媒体目标数据</t>
  </si>
  <si>
    <t>序号</t>
  </si>
  <si>
    <t>门店名称</t>
  </si>
  <si>
    <t>2026年5月新媒体目标数据</t>
  </si>
  <si>
    <t>投流目标</t>
  </si>
  <si>
    <t>直播场次
目标</t>
  </si>
  <si>
    <t>短视频发布数目标</t>
  </si>
  <si>
    <t>线索目标</t>
  </si>
  <si>
    <t>直播投流
目标</t>
  </si>
  <si>
    <t>短视频投流目标</t>
  </si>
  <si>
    <t>总投流
目标</t>
  </si>
  <si>
    <t>直播线索
目标</t>
  </si>
  <si>
    <t>直播场均线索目标</t>
  </si>
  <si>
    <t>短视频
线索目标</t>
  </si>
  <si>
    <t>短视频均条线索目标</t>
  </si>
  <si>
    <t>本地线索
目标</t>
  </si>
  <si>
    <t>总线索
目标</t>
  </si>
  <si>
    <t>厂家下发</t>
  </si>
  <si>
    <t>总到店
目标</t>
  </si>
  <si>
    <t>总订单
目标</t>
  </si>
  <si>
    <t>花都广本</t>
  </si>
  <si>
    <t>花都建设北零跑</t>
  </si>
  <si>
    <t>白云零跑</t>
  </si>
  <si>
    <t>花都传祺</t>
  </si>
  <si>
    <t>清远极氪</t>
  </si>
  <si>
    <t>清远广本</t>
  </si>
  <si>
    <t>鑫海广本</t>
  </si>
  <si>
    <t>汕头广本</t>
  </si>
  <si>
    <t>江门大众</t>
  </si>
  <si>
    <t>河源零跑</t>
  </si>
  <si>
    <t>汕头零跑</t>
  </si>
  <si>
    <t>清远港鸿</t>
  </si>
  <si>
    <t>从化零跑</t>
  </si>
  <si>
    <t>清远奇晟</t>
  </si>
  <si>
    <t>清远英德</t>
  </si>
  <si>
    <t>广花店</t>
  </si>
  <si>
    <t>北站店</t>
  </si>
  <si>
    <t>清远智己</t>
  </si>
  <si>
    <t>合计</t>
  </si>
  <si>
    <t>骏延集团2026年5月新媒体运营核心指标</t>
  </si>
  <si>
    <t>线索</t>
  </si>
  <si>
    <t>统计周期：</t>
  </si>
  <si>
    <t>5.1-5.24</t>
  </si>
  <si>
    <t>时间进度：</t>
  </si>
  <si>
    <t>4.1-4.5</t>
  </si>
  <si>
    <t>4.6-4.12</t>
  </si>
  <si>
    <t>4.13-4.19</t>
  </si>
  <si>
    <t>4.20-4.30</t>
  </si>
  <si>
    <t>KPI</t>
  </si>
  <si>
    <t>本周</t>
  </si>
  <si>
    <t>月累</t>
  </si>
  <si>
    <t>目标</t>
  </si>
  <si>
    <t>达成率</t>
  </si>
  <si>
    <t>进度差异</t>
  </si>
  <si>
    <t>离目标差异</t>
  </si>
  <si>
    <t>周趋势</t>
  </si>
  <si>
    <t>直播场次</t>
  </si>
  <si>
    <t>短视频发布数</t>
  </si>
  <si>
    <t>总线索</t>
  </si>
  <si>
    <t>总到店</t>
  </si>
  <si>
    <t>新媒体订单</t>
  </si>
  <si>
    <t>新媒体订单占零售订单比例</t>
  </si>
  <si>
    <t>厂家矩阵排名</t>
  </si>
  <si>
    <t>到店</t>
  </si>
  <si>
    <t>订单</t>
  </si>
  <si>
    <t>骏延集团2026年1-7月新媒体数据</t>
  </si>
  <si>
    <t>1月-7月12日</t>
  </si>
  <si>
    <t>统计周期：1月1日-31日（合计31天）</t>
  </si>
  <si>
    <t>统计周期：2月1日-28日（合计28天）</t>
  </si>
  <si>
    <t>统计周期3月1日-31日（合计31天）</t>
  </si>
  <si>
    <t>统计周期：4月1日-30日（合计30天）</t>
  </si>
  <si>
    <t>统计周期：5月1日-31日（合计31天）</t>
  </si>
  <si>
    <t>6月1日-30日（累计30天）</t>
  </si>
  <si>
    <t>7月1日-12日（累计12天）</t>
  </si>
  <si>
    <t>投流</t>
  </si>
  <si>
    <t>直播
场次</t>
  </si>
  <si>
    <t>短视频
发布数量</t>
  </si>
  <si>
    <t>全月总订单（7月）</t>
  </si>
  <si>
    <t>垂媒订单（7月）</t>
  </si>
  <si>
    <t>订单(新媒体）</t>
  </si>
  <si>
    <t>截止目前厂家
矩阵
排名</t>
  </si>
  <si>
    <t>厂家
矩阵
排名</t>
  </si>
  <si>
    <t>全月总订单</t>
  </si>
  <si>
    <t>垂媒订单</t>
  </si>
  <si>
    <t>本月截止目前厂家
矩阵
排名</t>
  </si>
  <si>
    <t>直播
投流</t>
  </si>
  <si>
    <t>短视频投流</t>
  </si>
  <si>
    <t>总投流</t>
  </si>
  <si>
    <t>直播
线索</t>
  </si>
  <si>
    <t>短视频线索</t>
  </si>
  <si>
    <t>厂家下发线索</t>
  </si>
  <si>
    <t>本地
线索</t>
  </si>
  <si>
    <t>自然流线索数</t>
  </si>
  <si>
    <t>付费流线索数</t>
  </si>
  <si>
    <t>付费流线索成本(元/条）</t>
  </si>
  <si>
    <t>直播
到店</t>
  </si>
  <si>
    <t>短视频到店</t>
  </si>
  <si>
    <t>新媒体总订单</t>
  </si>
  <si>
    <t>直播
订单</t>
  </si>
  <si>
    <t>短视频订单</t>
  </si>
  <si>
    <t>当月新媒体订单占零售订单比例</t>
  </si>
  <si>
    <t>自然流线索
成交数</t>
  </si>
  <si>
    <t>自然流线索
成交率</t>
  </si>
  <si>
    <t>付费流线索
成交数</t>
  </si>
  <si>
    <t>付费流线索
成交率</t>
  </si>
  <si>
    <t>付费流
线索成本</t>
  </si>
  <si>
    <t>广花零跑</t>
  </si>
  <si>
    <t>花都北站零跑</t>
  </si>
  <si>
    <t>5.1-5.10</t>
  </si>
  <si>
    <t>5.11-5.17</t>
  </si>
  <si>
    <t>5.18-5.24</t>
  </si>
  <si>
    <t>4.20-4.26</t>
  </si>
  <si>
    <t>4.27-4.30</t>
  </si>
  <si>
    <t>每月订单对比</t>
  </si>
  <si>
    <t>每月新媒体订单占比</t>
  </si>
  <si>
    <t>店名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</si>
  <si>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</si>
  <si>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</si>
  <si>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</si>
  <si>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</si>
  <si>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</si>
  <si>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</si>
  <si>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</si>
  <si>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</si>
  <si>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</si>
  <si>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</si>
  <si>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</si>
  <si>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</si>
  <si>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每月总线索</t>
  </si>
  <si>
    <t>每月总到店数据</t>
  </si>
  <si>
    <t>特约店</t>
  </si>
  <si>
    <t>负责老师</t>
  </si>
  <si>
    <t>核对</t>
  </si>
  <si>
    <t>短视频发布</t>
  </si>
  <si>
    <t>投流费用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</si>
</sst>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;[Red]\-0\ "/>
    <numFmt numFmtId="178" formatCode="0.00_ "/>
    <numFmt numFmtId="179" formatCode="0.0_);[Red]\(0.0\)"/>
    <numFmt numFmtId="180" formatCode="0.0_ "/>
    <numFmt numFmtId="181" formatCode="0_ "/>
  </numFmts>
  <fonts count="5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宋体"/>
      <charset val="134"/>
    </font>
    <font>
      <b/>
      <sz val="18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4"/>
      <color rgb="FF000000"/>
      <name val="Segoe UI Symbol"/>
      <charset val="134"/>
    </font>
    <font>
      <b/>
      <sz val="13"/>
      <color theme="1"/>
      <name val="微软雅黑"/>
      <charset val="134"/>
    </font>
    <font>
      <b/>
      <sz val="13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24"/>
      <color theme="0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微软雅黑"/>
      <charset val="134"/>
    </font>
    <font>
      <b/>
      <sz val="24"/>
      <color rgb="FFFFFFFF"/>
      <name val="微软雅黑"/>
      <charset val="134"/>
    </font>
    <font>
      <b/>
      <sz val="16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3"/>
      <color rgb="FF000000"/>
      <name val="微软雅黑"/>
      <charset val="134"/>
    </font>
    <font>
      <b/>
      <sz val="12"/>
      <color rgb="FF000000"/>
      <name val="Microsoft YaHei"/>
      <charset val="134"/>
    </font>
    <font>
      <b/>
      <sz val="14"/>
      <color rgb="FFC00000"/>
      <name val="微软雅黑"/>
      <charset val="134"/>
    </font>
    <font>
      <sz val="12"/>
      <color rgb="FF000000"/>
      <name val="微软雅黑"/>
      <charset val="134"/>
    </font>
    <font>
      <sz val="13"/>
      <color rgb="FF000000"/>
      <name val="微软雅黑"/>
      <charset val="134"/>
    </font>
    <font>
      <sz val="14"/>
      <color rgb="FFC00000"/>
      <name val="微软雅黑"/>
      <charset val="134"/>
    </font>
    <font>
      <sz val="12"/>
      <color rgb="FF000000"/>
      <name val="Microsoft YaHei"/>
      <charset val="134"/>
    </font>
    <font>
      <b/>
      <sz val="13"/>
      <color rgb="FFC00000"/>
      <name val="微软雅黑"/>
      <charset val="134"/>
    </font>
    <font>
      <sz val="12"/>
      <name val="微软雅黑"/>
      <charset val="134"/>
    </font>
    <font>
      <sz val="13"/>
      <color rgb="FFC00000"/>
      <name val="微软雅黑"/>
      <charset val="134"/>
    </font>
    <font>
      <b/>
      <sz val="12"/>
      <name val="微软雅黑"/>
      <charset val="134"/>
    </font>
    <font>
      <b/>
      <sz val="12"/>
      <color rgb="FFC00000"/>
      <name val="微软雅黑"/>
      <charset val="134"/>
    </font>
    <font>
      <b/>
      <sz val="12"/>
      <color theme="0"/>
      <name val="微软雅黑"/>
      <charset val="134"/>
    </font>
    <font>
      <sz val="14"/>
      <color theme="1"/>
      <name val="微软雅黑"/>
      <charset val="134"/>
    </font>
    <font>
      <sz val="12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AD8D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2065187536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/>
      <diagonal/>
    </border>
    <border>
      <left style="thin">
        <color theme="5" tint="0.399975585192419"/>
      </left>
      <right style="thin">
        <color theme="5" tint="0.399975585192419"/>
      </right>
      <top/>
      <bottom style="thin">
        <color theme="5" tint="0.399975585192419"/>
      </bottom>
      <diagonal/>
    </border>
    <border>
      <left style="hair">
        <color theme="4" tint="0.399945066682943"/>
      </left>
      <right style="hair">
        <color theme="4" tint="0.399945066682943"/>
      </right>
      <top style="hair">
        <color theme="4" tint="0.399945066682943"/>
      </top>
      <bottom/>
      <diagonal/>
    </border>
    <border>
      <left style="hair">
        <color theme="8" tint="0.599993896298105"/>
      </left>
      <right style="hair">
        <color theme="8" tint="0.599993896298105"/>
      </right>
      <top style="hair">
        <color theme="8" tint="0.599993896298105"/>
      </top>
      <bottom style="hair">
        <color theme="8" tint="0.599993896298105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theme="5" tint="0.399945066682943"/>
      </left>
      <right style="hair">
        <color theme="5" tint="0.399945066682943"/>
      </right>
      <top style="hair">
        <color theme="5" tint="0.399945066682943"/>
      </top>
      <bottom style="hair">
        <color theme="5" tint="0.399945066682943"/>
      </bottom>
      <diagonal/>
    </border>
    <border>
      <left/>
      <right/>
      <top/>
      <bottom style="hair">
        <color theme="4" tint="0.399945066682943"/>
      </bottom>
      <diagonal/>
    </border>
    <border>
      <left style="hair">
        <color theme="8" tint="0.399945066682943"/>
      </left>
      <right/>
      <top/>
      <bottom/>
      <diagonal/>
    </border>
    <border>
      <left/>
      <right/>
      <top/>
      <bottom style="hair">
        <color theme="8" tint="0.399945066682943"/>
      </bottom>
      <diagonal/>
    </border>
    <border>
      <left style="thin">
        <color auto="1"/>
      </left>
      <right style="hair">
        <color theme="8" tint="0.399945066682943"/>
      </right>
      <top style="hair">
        <color theme="8" tint="0.399945066682943"/>
      </top>
      <bottom style="thin">
        <color auto="1"/>
      </bottom>
      <diagonal/>
    </border>
    <border>
      <left style="hair">
        <color theme="8" tint="0.399945066682943"/>
      </left>
      <right/>
      <top style="hair">
        <color theme="8" tint="0.39994506668294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hair">
        <color theme="8" tint="0.399945066682943"/>
      </top>
      <bottom/>
      <diagonal/>
    </border>
    <border>
      <left/>
      <right style="hair">
        <color theme="8" tint="0.399945066682943"/>
      </right>
      <top style="hair">
        <color theme="8" tint="0.399945066682943"/>
      </top>
      <bottom/>
      <diagonal/>
    </border>
    <border>
      <left style="thin">
        <color auto="1"/>
      </left>
      <right/>
      <top style="hair">
        <color theme="8" tint="0.399945066682943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hair">
        <color theme="8" tint="0.399945066682943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hair">
        <color theme="8" tint="0.399945066682943"/>
      </right>
      <top style="thin">
        <color auto="1"/>
      </top>
      <bottom style="double">
        <color theme="1" tint="0.499984740745262"/>
      </bottom>
      <diagonal/>
    </border>
    <border>
      <left style="hair">
        <color theme="8" tint="0.399945066682943"/>
      </left>
      <right/>
      <top/>
      <bottom style="double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1" tint="0.499984740745262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808080"/>
      </bottom>
      <diagonal/>
    </border>
    <border>
      <left style="thin">
        <color rgb="FFFFBA84"/>
      </left>
      <right style="thin">
        <color rgb="FFFFBA84"/>
      </right>
      <top style="thin">
        <color rgb="FFFFBA84"/>
      </top>
      <bottom style="thin">
        <color rgb="FFFFBA84"/>
      </bottom>
      <diagonal/>
    </border>
    <border>
      <left style="thin">
        <color rgb="FFFFBA84"/>
      </left>
      <right style="thin">
        <color rgb="FFFFBA84"/>
      </right>
      <top/>
      <bottom style="thin">
        <color rgb="FFFFBA84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FFBA84"/>
      </right>
      <top/>
      <bottom style="thin">
        <color rgb="FFFFBA84"/>
      </bottom>
      <diagonal/>
    </border>
    <border>
      <left/>
      <right style="thin">
        <color rgb="FFFFBA84"/>
      </right>
      <top style="thin">
        <color rgb="FFFFBA84"/>
      </top>
      <bottom style="thin">
        <color rgb="FFFFBA84"/>
      </bottom>
      <diagonal/>
    </border>
    <border>
      <left style="hair">
        <color theme="4" tint="0.399945066682943"/>
      </left>
      <right/>
      <top/>
      <bottom/>
      <diagonal/>
    </border>
    <border>
      <left style="hair">
        <color theme="4" tint="0.399945066682943"/>
      </left>
      <right style="hair">
        <color theme="4" tint="0.399945066682943"/>
      </right>
      <top style="hair">
        <color theme="4" tint="0.399945066682943"/>
      </top>
      <bottom style="hair">
        <color theme="4" tint="0.399945066682943"/>
      </bottom>
      <diagonal/>
    </border>
    <border>
      <left style="hair">
        <color theme="9" tint="0.599993896298105"/>
      </left>
      <right style="hair">
        <color theme="9" tint="0.599993896298105"/>
      </right>
      <top style="hair">
        <color theme="9" tint="0.599993896298105"/>
      </top>
      <bottom style="hair">
        <color theme="9" tint="0.599993896298105"/>
      </bottom>
      <diagonal/>
    </border>
    <border>
      <left style="hair">
        <color theme="7" tint="0.599993896298105"/>
      </left>
      <right style="hair">
        <color theme="7" tint="0.599993896298105"/>
      </right>
      <top style="hair">
        <color theme="7" tint="0.599993896298105"/>
      </top>
      <bottom style="hair">
        <color theme="7" tint="0.599993896298105"/>
      </bottom>
      <diagonal/>
    </border>
    <border>
      <left style="hair">
        <color theme="4" tint="0.399945066682943"/>
      </left>
      <right/>
      <top/>
      <bottom style="hair">
        <color theme="4" tint="0.399945066682943"/>
      </bottom>
      <diagonal/>
    </border>
    <border>
      <left style="hair">
        <color theme="4" tint="0.399945066682943"/>
      </left>
      <right/>
      <top style="hair">
        <color theme="4" tint="0.399945066682943"/>
      </top>
      <bottom style="hair">
        <color theme="4" tint="0.399945066682943"/>
      </bottom>
      <diagonal/>
    </border>
    <border>
      <left/>
      <right/>
      <top style="hair">
        <color theme="4" tint="0.399945066682943"/>
      </top>
      <bottom style="hair">
        <color theme="4" tint="0.399945066682943"/>
      </bottom>
      <diagonal/>
    </border>
    <border>
      <left/>
      <right/>
      <top style="hair">
        <color theme="4" tint="0.399945066682943"/>
      </top>
      <bottom style="hair">
        <color theme="5" tint="0.599993896298105"/>
      </bottom>
      <diagonal/>
    </border>
    <border>
      <left style="hair">
        <color theme="5" tint="0.599993896298105"/>
      </left>
      <right/>
      <top/>
      <bottom/>
      <diagonal/>
    </border>
    <border>
      <left style="hair">
        <color theme="5" tint="0.599993896298105"/>
      </left>
      <right style="hair">
        <color theme="5" tint="0.599993896298105"/>
      </right>
      <top style="hair">
        <color theme="5" tint="0.599993896298105"/>
      </top>
      <bottom/>
      <diagonal/>
    </border>
    <border>
      <left style="hair">
        <color theme="9" tint="0.599993896298105"/>
      </left>
      <right/>
      <top style="hair">
        <color theme="9" tint="0.599993896298105"/>
      </top>
      <bottom/>
      <diagonal/>
    </border>
    <border>
      <left style="hair">
        <color theme="9" tint="0.399945066682943"/>
      </left>
      <right style="hair">
        <color theme="9" tint="0.399945066682943"/>
      </right>
      <top style="hair">
        <color theme="9" tint="0.399945066682943"/>
      </top>
      <bottom/>
      <diagonal/>
    </border>
    <border>
      <left/>
      <right/>
      <top style="hair">
        <color theme="4" tint="0.399945066682943"/>
      </top>
      <bottom/>
      <diagonal/>
    </border>
    <border>
      <left style="hair">
        <color theme="8" tint="0.399945066682943"/>
      </left>
      <right/>
      <top style="hair">
        <color theme="8" tint="0.399945066682943"/>
      </top>
      <bottom style="hair">
        <color theme="8" tint="0.399945066682943"/>
      </bottom>
      <diagonal/>
    </border>
    <border>
      <left/>
      <right/>
      <top style="hair">
        <color theme="8" tint="0.399945066682943"/>
      </top>
      <bottom style="hair">
        <color theme="8" tint="0.399945066682943"/>
      </bottom>
      <diagonal/>
    </border>
    <border>
      <left style="hair">
        <color theme="8" tint="0.399945066682943"/>
      </left>
      <right style="hair">
        <color theme="8" tint="0.399945066682943"/>
      </right>
      <top style="hair">
        <color theme="8" tint="0.399945066682943"/>
      </top>
      <bottom/>
      <diagonal/>
    </border>
    <border>
      <left style="hair">
        <color theme="8" tint="0.399945066682943"/>
      </left>
      <right style="hair">
        <color theme="8" tint="0.399945066682943"/>
      </right>
      <top/>
      <bottom/>
      <diagonal/>
    </border>
    <border>
      <left/>
      <right style="thin">
        <color auto="1"/>
      </right>
      <top/>
      <bottom style="hair">
        <color theme="8" tint="0.399945066682943"/>
      </bottom>
      <diagonal/>
    </border>
    <border>
      <left style="thin">
        <color auto="1"/>
      </left>
      <right style="thin">
        <color auto="1"/>
      </right>
      <top/>
      <bottom style="hair">
        <color theme="8" tint="0.399945066682943"/>
      </bottom>
      <diagonal/>
    </border>
    <border>
      <left style="thin">
        <color auto="1"/>
      </left>
      <right/>
      <top/>
      <bottom style="hair">
        <color theme="8" tint="0.399945066682943"/>
      </bottom>
      <diagonal/>
    </border>
    <border>
      <left style="hair">
        <color theme="8" tint="0.399945066682943"/>
      </left>
      <right style="hair">
        <color theme="8" tint="0.399945066682943"/>
      </right>
      <top/>
      <bottom style="thin">
        <color auto="1"/>
      </bottom>
      <diagonal/>
    </border>
    <border>
      <left/>
      <right style="hair">
        <color theme="8" tint="0.399945066682943"/>
      </right>
      <top/>
      <bottom style="thin">
        <color auto="1"/>
      </bottom>
      <diagonal/>
    </border>
    <border>
      <left style="hair">
        <color theme="8" tint="0.399945066682943"/>
      </left>
      <right/>
      <top/>
      <bottom style="hair">
        <color theme="8" tint="0.399945066682943"/>
      </bottom>
      <diagonal/>
    </border>
    <border>
      <left style="hair">
        <color theme="8" tint="0.399945066682943"/>
      </left>
      <right style="hair">
        <color theme="8" tint="0.399945066682943"/>
      </right>
      <top/>
      <bottom style="hair">
        <color theme="8" tint="0.399945066682943"/>
      </bottom>
      <diagonal/>
    </border>
    <border>
      <left style="hair">
        <color theme="8" tint="0.399945066682943"/>
      </left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hair">
        <color theme="8" tint="0.399945066682943"/>
      </left>
      <right style="hair">
        <color theme="8" tint="0.399945066682943"/>
      </right>
      <top style="thin">
        <color auto="1"/>
      </top>
      <bottom style="hair">
        <color theme="8" tint="0.399945066682943"/>
      </bottom>
      <diagonal/>
    </border>
    <border>
      <left/>
      <right/>
      <top style="thin">
        <color auto="1"/>
      </top>
      <bottom style="hair">
        <color theme="8" tint="0.399945066682943"/>
      </bottom>
      <diagonal/>
    </border>
    <border>
      <left/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thin">
        <color rgb="FF98D7B6"/>
      </left>
      <right style="thin">
        <color rgb="FF98D7B6"/>
      </right>
      <top/>
      <bottom style="thin">
        <color rgb="FF98D7B6"/>
      </bottom>
      <diagonal/>
    </border>
    <border>
      <left style="thin">
        <color rgb="FF98D7B6"/>
      </left>
      <right style="thin">
        <color rgb="FF98D7B6"/>
      </right>
      <top style="thin">
        <color rgb="FF98D7B6"/>
      </top>
      <bottom style="thin">
        <color rgb="FF98D7B6"/>
      </bottom>
      <diagonal/>
    </border>
    <border>
      <left/>
      <right style="hair">
        <color theme="8" tint="0.399945066682943"/>
      </right>
      <top/>
      <bottom/>
      <diagonal/>
    </border>
    <border>
      <left style="hair">
        <color theme="8" tint="0.399945066682943"/>
      </left>
      <right style="hair">
        <color theme="8" tint="0.399945066682943"/>
      </right>
      <top style="hair">
        <color theme="8" tint="0.399945066682943"/>
      </top>
      <bottom style="hair">
        <color theme="4" tint="0.399945066682943"/>
      </bottom>
      <diagonal/>
    </border>
    <border>
      <left/>
      <right style="hair">
        <color theme="8" tint="0.399945066682943"/>
      </right>
      <top/>
      <bottom style="hair">
        <color theme="8" tint="0.399945066682943"/>
      </bottom>
      <diagonal/>
    </border>
    <border>
      <left/>
      <right/>
      <top style="hair">
        <color theme="8" tint="0.399945066682943"/>
      </top>
      <bottom style="hair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6" borderId="7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74" applyNumberFormat="0" applyFill="0" applyAlignment="0" applyProtection="0">
      <alignment vertical="center"/>
    </xf>
    <xf numFmtId="0" fontId="38" fillId="0" borderId="74" applyNumberFormat="0" applyFill="0" applyAlignment="0" applyProtection="0">
      <alignment vertical="center"/>
    </xf>
    <xf numFmtId="0" fontId="39" fillId="0" borderId="7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7" borderId="76" applyNumberFormat="0" applyAlignment="0" applyProtection="0">
      <alignment vertical="center"/>
    </xf>
    <xf numFmtId="0" fontId="41" fillId="38" borderId="77" applyNumberFormat="0" applyAlignment="0" applyProtection="0">
      <alignment vertical="center"/>
    </xf>
    <xf numFmtId="0" fontId="42" fillId="38" borderId="76" applyNumberFormat="0" applyAlignment="0" applyProtection="0">
      <alignment vertical="center"/>
    </xf>
    <xf numFmtId="0" fontId="43" fillId="39" borderId="78" applyNumberFormat="0" applyAlignment="0" applyProtection="0">
      <alignment vertical="center"/>
    </xf>
    <xf numFmtId="0" fontId="44" fillId="0" borderId="79" applyNumberFormat="0" applyFill="0" applyAlignment="0" applyProtection="0">
      <alignment vertical="center"/>
    </xf>
    <xf numFmtId="0" fontId="45" fillId="0" borderId="80" applyNumberFormat="0" applyFill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0" fillId="0" borderId="0"/>
  </cellStyleXfs>
  <cellXfs count="351">
    <xf numFmtId="0" fontId="0" fillId="0" borderId="0" xfId="0"/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/>
    <xf numFmtId="0" fontId="0" fillId="0" borderId="1" xfId="0" applyBorder="1"/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0" fontId="4" fillId="0" borderId="0" xfId="0" applyNumberFormat="1" applyFont="1" applyFill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0" borderId="0" xfId="0" applyFont="1"/>
    <xf numFmtId="14" fontId="0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NumberFormat="1"/>
    <xf numFmtId="0" fontId="7" fillId="6" borderId="7" xfId="26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6" borderId="8" xfId="26" applyNumberFormat="1" applyFont="1" applyFill="1" applyBorder="1" applyAlignment="1">
      <alignment horizontal="center" vertical="center" wrapText="1"/>
    </xf>
    <xf numFmtId="0" fontId="8" fillId="6" borderId="8" xfId="0" applyNumberFormat="1" applyFont="1" applyFill="1" applyBorder="1" applyAlignment="1">
      <alignment horizontal="center" vertical="center" wrapText="1"/>
    </xf>
    <xf numFmtId="0" fontId="8" fillId="0" borderId="8" xfId="26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 wrapText="1"/>
    </xf>
    <xf numFmtId="0" fontId="8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NumberFormat="1" applyBorder="1"/>
    <xf numFmtId="0" fontId="0" fillId="0" borderId="6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9" fillId="8" borderId="0" xfId="0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177" fontId="9" fillId="9" borderId="11" xfId="0" applyNumberFormat="1" applyFont="1" applyFill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77" fontId="9" fillId="9" borderId="13" xfId="0" applyNumberFormat="1" applyFont="1" applyFill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2" fillId="0" borderId="0" xfId="0" applyFont="1"/>
    <xf numFmtId="0" fontId="9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1" fillId="17" borderId="16" xfId="0" applyFont="1" applyFill="1" applyBorder="1" applyAlignment="1">
      <alignment horizontal="center" vertical="center"/>
    </xf>
    <xf numFmtId="0" fontId="11" fillId="17" borderId="0" xfId="0" applyFont="1" applyFill="1" applyBorder="1" applyAlignment="1">
      <alignment horizontal="center" vertical="center"/>
    </xf>
    <xf numFmtId="0" fontId="11" fillId="17" borderId="17" xfId="0" applyFont="1" applyFill="1" applyBorder="1" applyAlignment="1">
      <alignment horizontal="center" vertical="center"/>
    </xf>
    <xf numFmtId="0" fontId="14" fillId="18" borderId="0" xfId="0" applyFont="1" applyFill="1" applyBorder="1" applyAlignment="1">
      <alignment horizontal="center" vertical="center"/>
    </xf>
    <xf numFmtId="0" fontId="7" fillId="15" borderId="18" xfId="26" applyFont="1" applyFill="1" applyBorder="1" applyAlignment="1">
      <alignment horizontal="center" vertical="center"/>
    </xf>
    <xf numFmtId="49" fontId="7" fillId="15" borderId="19" xfId="26" applyNumberFormat="1" applyFont="1" applyFill="1" applyBorder="1" applyAlignment="1">
      <alignment horizontal="center" vertical="center" wrapText="1"/>
    </xf>
    <xf numFmtId="49" fontId="15" fillId="19" borderId="20" xfId="26" applyNumberFormat="1" applyFont="1" applyFill="1" applyBorder="1" applyAlignment="1">
      <alignment horizontal="center" vertical="center" wrapText="1"/>
    </xf>
    <xf numFmtId="49" fontId="9" fillId="19" borderId="21" xfId="26" applyNumberFormat="1" applyFont="1" applyFill="1" applyBorder="1" applyAlignment="1">
      <alignment horizontal="center" vertical="center" wrapText="1"/>
    </xf>
    <xf numFmtId="49" fontId="9" fillId="19" borderId="22" xfId="26" applyNumberFormat="1" applyFont="1" applyFill="1" applyBorder="1" applyAlignment="1">
      <alignment horizontal="center" vertical="center" wrapText="1"/>
    </xf>
    <xf numFmtId="49" fontId="9" fillId="19" borderId="23" xfId="26" applyNumberFormat="1" applyFont="1" applyFill="1" applyBorder="1" applyAlignment="1">
      <alignment horizontal="center" vertical="center" wrapText="1"/>
    </xf>
    <xf numFmtId="49" fontId="16" fillId="20" borderId="24" xfId="26" applyNumberFormat="1" applyFont="1" applyFill="1" applyBorder="1" applyAlignment="1">
      <alignment horizontal="center" vertical="center" wrapText="1"/>
    </xf>
    <xf numFmtId="0" fontId="7" fillId="15" borderId="25" xfId="26" applyFont="1" applyFill="1" applyBorder="1" applyAlignment="1">
      <alignment horizontal="center" vertical="center"/>
    </xf>
    <xf numFmtId="49" fontId="7" fillId="15" borderId="16" xfId="26" applyNumberFormat="1" applyFont="1" applyFill="1" applyBorder="1" applyAlignment="1">
      <alignment horizontal="center" vertical="center" wrapText="1"/>
    </xf>
    <xf numFmtId="0" fontId="17" fillId="21" borderId="20" xfId="0" applyFont="1" applyFill="1" applyBorder="1" applyAlignment="1">
      <alignment horizontal="center" vertical="center" wrapText="1"/>
    </xf>
    <xf numFmtId="0" fontId="17" fillId="22" borderId="20" xfId="0" applyFont="1" applyFill="1" applyBorder="1" applyAlignment="1">
      <alignment horizontal="center" vertical="center" wrapText="1"/>
    </xf>
    <xf numFmtId="0" fontId="17" fillId="23" borderId="20" xfId="0" applyFont="1" applyFill="1" applyBorder="1" applyAlignment="1">
      <alignment horizontal="center" vertical="center" wrapText="1"/>
    </xf>
    <xf numFmtId="0" fontId="17" fillId="24" borderId="20" xfId="0" applyFont="1" applyFill="1" applyBorder="1" applyAlignment="1">
      <alignment horizontal="center" vertical="center" wrapText="1"/>
    </xf>
    <xf numFmtId="0" fontId="18" fillId="25" borderId="0" xfId="0" applyFont="1" applyFill="1" applyAlignment="1">
      <alignment horizontal="center" vertical="center" wrapText="1"/>
    </xf>
    <xf numFmtId="0" fontId="17" fillId="26" borderId="20" xfId="0" applyFont="1" applyFill="1" applyBorder="1" applyAlignment="1">
      <alignment horizontal="center" vertical="center" wrapText="1"/>
    </xf>
    <xf numFmtId="0" fontId="17" fillId="27" borderId="20" xfId="0" applyFont="1" applyFill="1" applyBorder="1" applyAlignment="1">
      <alignment horizontal="center" vertical="center" wrapText="1"/>
    </xf>
    <xf numFmtId="0" fontId="4" fillId="21" borderId="26" xfId="0" applyFont="1" applyFill="1" applyBorder="1" applyAlignment="1">
      <alignment horizontal="center" vertical="center" wrapText="1"/>
    </xf>
    <xf numFmtId="0" fontId="4" fillId="21" borderId="24" xfId="0" applyFont="1" applyFill="1" applyBorder="1" applyAlignment="1">
      <alignment horizontal="center" vertical="center" wrapText="1"/>
    </xf>
    <xf numFmtId="0" fontId="4" fillId="22" borderId="24" xfId="0" applyFont="1" applyFill="1" applyBorder="1" applyAlignment="1">
      <alignment horizontal="center" vertical="center" wrapText="1"/>
    </xf>
    <xf numFmtId="0" fontId="4" fillId="23" borderId="24" xfId="0" applyFont="1" applyFill="1" applyBorder="1" applyAlignment="1">
      <alignment horizontal="center" vertical="center" wrapText="1"/>
    </xf>
    <xf numFmtId="0" fontId="4" fillId="24" borderId="0" xfId="0" applyFont="1" applyFill="1" applyAlignment="1">
      <alignment horizontal="center" vertical="center" wrapText="1"/>
    </xf>
    <xf numFmtId="0" fontId="4" fillId="26" borderId="0" xfId="0" applyFont="1" applyFill="1" applyAlignment="1">
      <alignment horizontal="center" vertical="center" wrapText="1"/>
    </xf>
    <xf numFmtId="0" fontId="4" fillId="27" borderId="0" xfId="0" applyFont="1" applyFill="1" applyAlignment="1">
      <alignment horizontal="center" vertical="center" wrapText="1"/>
    </xf>
    <xf numFmtId="0" fontId="17" fillId="21" borderId="24" xfId="0" applyFont="1" applyFill="1" applyBorder="1" applyAlignment="1">
      <alignment horizontal="center" vertical="center" wrapText="1"/>
    </xf>
    <xf numFmtId="0" fontId="17" fillId="22" borderId="24" xfId="0" applyFont="1" applyFill="1" applyBorder="1" applyAlignment="1">
      <alignment horizontal="center" vertical="center" wrapText="1"/>
    </xf>
    <xf numFmtId="0" fontId="17" fillId="23" borderId="24" xfId="0" applyFont="1" applyFill="1" applyBorder="1" applyAlignment="1">
      <alignment horizontal="center" vertical="center" wrapText="1"/>
    </xf>
    <xf numFmtId="0" fontId="17" fillId="24" borderId="24" xfId="0" applyFont="1" applyFill="1" applyBorder="1" applyAlignment="1">
      <alignment horizontal="center" vertical="center" wrapText="1"/>
    </xf>
    <xf numFmtId="0" fontId="17" fillId="26" borderId="24" xfId="0" applyFont="1" applyFill="1" applyBorder="1" applyAlignment="1">
      <alignment horizontal="center" vertical="center" wrapText="1"/>
    </xf>
    <xf numFmtId="0" fontId="17" fillId="27" borderId="24" xfId="0" applyFont="1" applyFill="1" applyBorder="1" applyAlignment="1">
      <alignment horizontal="center" vertical="center" wrapText="1"/>
    </xf>
    <xf numFmtId="0" fontId="7" fillId="15" borderId="27" xfId="26" applyFont="1" applyFill="1" applyBorder="1" applyAlignment="1">
      <alignment horizontal="center" vertical="center"/>
    </xf>
    <xf numFmtId="49" fontId="7" fillId="15" borderId="28" xfId="26" applyNumberFormat="1" applyFont="1" applyFill="1" applyBorder="1" applyAlignment="1">
      <alignment horizontal="center" vertical="center" wrapText="1"/>
    </xf>
    <xf numFmtId="0" fontId="17" fillId="21" borderId="29" xfId="0" applyFont="1" applyFill="1" applyBorder="1" applyAlignment="1">
      <alignment horizontal="center" vertical="center" wrapText="1"/>
    </xf>
    <xf numFmtId="0" fontId="17" fillId="22" borderId="29" xfId="0" applyFont="1" applyFill="1" applyBorder="1" applyAlignment="1">
      <alignment horizontal="center" vertical="center" wrapText="1"/>
    </xf>
    <xf numFmtId="0" fontId="17" fillId="23" borderId="29" xfId="0" applyFont="1" applyFill="1" applyBorder="1" applyAlignment="1">
      <alignment horizontal="center" vertical="center" wrapText="1"/>
    </xf>
    <xf numFmtId="179" fontId="17" fillId="23" borderId="29" xfId="0" applyNumberFormat="1" applyFont="1" applyFill="1" applyBorder="1" applyAlignment="1">
      <alignment horizontal="center" vertical="center" wrapText="1"/>
    </xf>
    <xf numFmtId="0" fontId="17" fillId="24" borderId="29" xfId="0" applyFont="1" applyFill="1" applyBorder="1" applyAlignment="1">
      <alignment horizontal="center" vertical="center" wrapText="1"/>
    </xf>
    <xf numFmtId="0" fontId="17" fillId="26" borderId="29" xfId="0" applyFont="1" applyFill="1" applyBorder="1" applyAlignment="1">
      <alignment horizontal="center" vertical="center" wrapText="1"/>
    </xf>
    <xf numFmtId="0" fontId="17" fillId="27" borderId="29" xfId="0" applyFont="1" applyFill="1" applyBorder="1" applyAlignment="1">
      <alignment horizontal="center" vertical="center" wrapText="1"/>
    </xf>
    <xf numFmtId="0" fontId="4" fillId="21" borderId="30" xfId="0" applyFont="1" applyFill="1" applyBorder="1" applyAlignment="1">
      <alignment horizontal="center" vertical="center" wrapText="1"/>
    </xf>
    <xf numFmtId="0" fontId="4" fillId="21" borderId="31" xfId="0" applyFont="1" applyFill="1" applyBorder="1" applyAlignment="1">
      <alignment horizontal="center" vertical="center" wrapText="1"/>
    </xf>
    <xf numFmtId="0" fontId="4" fillId="22" borderId="31" xfId="0" applyFont="1" applyFill="1" applyBorder="1" applyAlignment="1">
      <alignment horizontal="center" vertical="center" wrapText="1"/>
    </xf>
    <xf numFmtId="0" fontId="4" fillId="23" borderId="31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2" borderId="32" xfId="0" applyFont="1" applyFill="1" applyBorder="1" applyAlignment="1">
      <alignment horizontal="center" vertical="center" wrapText="1"/>
    </xf>
    <xf numFmtId="0" fontId="17" fillId="23" borderId="32" xfId="0" applyFont="1" applyFill="1" applyBorder="1" applyAlignment="1">
      <alignment horizontal="center" vertical="center" wrapText="1"/>
    </xf>
    <xf numFmtId="179" fontId="17" fillId="23" borderId="32" xfId="0" applyNumberFormat="1" applyFont="1" applyFill="1" applyBorder="1" applyAlignment="1">
      <alignment horizontal="center" vertical="center" wrapText="1"/>
    </xf>
    <xf numFmtId="0" fontId="17" fillId="24" borderId="32" xfId="0" applyFont="1" applyFill="1" applyBorder="1" applyAlignment="1">
      <alignment horizontal="center" vertical="center" wrapText="1"/>
    </xf>
    <xf numFmtId="0" fontId="17" fillId="26" borderId="32" xfId="0" applyFont="1" applyFill="1" applyBorder="1" applyAlignment="1">
      <alignment horizontal="center" vertical="center" wrapText="1"/>
    </xf>
    <xf numFmtId="0" fontId="17" fillId="27" borderId="32" xfId="0" applyFont="1" applyFill="1" applyBorder="1" applyAlignment="1">
      <alignment horizontal="center" vertical="center" wrapText="1"/>
    </xf>
    <xf numFmtId="0" fontId="7" fillId="15" borderId="7" xfId="26" applyNumberFormat="1" applyFont="1" applyFill="1" applyBorder="1" applyAlignment="1">
      <alignment horizontal="center" vertical="center"/>
    </xf>
    <xf numFmtId="0" fontId="7" fillId="15" borderId="7" xfId="26" applyNumberFormat="1" applyFont="1" applyFill="1" applyBorder="1" applyAlignment="1">
      <alignment horizontal="center" vertical="center" wrapText="1"/>
    </xf>
    <xf numFmtId="0" fontId="7" fillId="15" borderId="7" xfId="0" applyNumberFormat="1" applyFont="1" applyFill="1" applyBorder="1" applyAlignment="1">
      <alignment horizontal="center" vertical="center" wrapText="1"/>
    </xf>
    <xf numFmtId="179" fontId="7" fillId="15" borderId="7" xfId="0" applyNumberFormat="1" applyFont="1" applyFill="1" applyBorder="1" applyAlignment="1">
      <alignment horizontal="center" vertical="center" wrapText="1"/>
    </xf>
    <xf numFmtId="0" fontId="7" fillId="15" borderId="8" xfId="0" applyNumberFormat="1" applyFont="1" applyFill="1" applyBorder="1" applyAlignment="1">
      <alignment horizontal="center" vertical="center" wrapText="1"/>
    </xf>
    <xf numFmtId="0" fontId="19" fillId="15" borderId="8" xfId="0" applyNumberFormat="1" applyFont="1" applyFill="1" applyBorder="1" applyAlignment="1">
      <alignment horizontal="center" vertical="center" wrapText="1"/>
    </xf>
    <xf numFmtId="176" fontId="7" fillId="15" borderId="7" xfId="0" applyNumberFormat="1" applyFont="1" applyFill="1" applyBorder="1" applyAlignment="1">
      <alignment horizontal="center" vertical="center" wrapText="1"/>
    </xf>
    <xf numFmtId="176" fontId="7" fillId="15" borderId="8" xfId="26" applyNumberFormat="1" applyFont="1" applyFill="1" applyBorder="1" applyAlignment="1">
      <alignment horizontal="center" vertical="center" wrapText="1"/>
    </xf>
    <xf numFmtId="0" fontId="7" fillId="15" borderId="8" xfId="26" applyNumberFormat="1" applyFont="1" applyFill="1" applyBorder="1" applyAlignment="1">
      <alignment horizontal="center" vertical="center" wrapText="1"/>
    </xf>
    <xf numFmtId="176" fontId="7" fillId="15" borderId="8" xfId="0" applyNumberFormat="1" applyFont="1" applyFill="1" applyBorder="1" applyAlignment="1">
      <alignment horizontal="center" vertical="center" wrapText="1"/>
    </xf>
    <xf numFmtId="0" fontId="18" fillId="0" borderId="33" xfId="0" applyNumberFormat="1" applyFont="1" applyBorder="1" applyAlignment="1">
      <alignment horizontal="center" vertical="center" wrapText="1"/>
    </xf>
    <xf numFmtId="0" fontId="20" fillId="0" borderId="33" xfId="0" applyNumberFormat="1" applyFont="1" applyFill="1" applyBorder="1" applyAlignment="1">
      <alignment horizontal="center" vertical="center" wrapText="1"/>
    </xf>
    <xf numFmtId="0" fontId="20" fillId="0" borderId="34" xfId="0" applyNumberFormat="1" applyFont="1" applyFill="1" applyBorder="1" applyAlignment="1">
      <alignment horizontal="center" vertical="center" wrapText="1"/>
    </xf>
    <xf numFmtId="179" fontId="20" fillId="0" borderId="34" xfId="0" applyNumberFormat="1" applyFont="1" applyFill="1" applyBorder="1" applyAlignment="1">
      <alignment horizontal="center" vertical="center" wrapText="1"/>
    </xf>
    <xf numFmtId="176" fontId="20" fillId="0" borderId="33" xfId="0" applyNumberFormat="1" applyFont="1" applyFill="1" applyBorder="1" applyAlignment="1">
      <alignment horizontal="center" vertical="center" wrapText="1"/>
    </xf>
    <xf numFmtId="0" fontId="21" fillId="0" borderId="35" xfId="0" applyNumberFormat="1" applyFont="1" applyFill="1" applyBorder="1" applyAlignment="1">
      <alignment horizontal="center" vertical="center" wrapText="1"/>
    </xf>
    <xf numFmtId="179" fontId="21" fillId="0" borderId="35" xfId="0" applyNumberFormat="1" applyFont="1" applyFill="1" applyBorder="1" applyAlignment="1">
      <alignment horizontal="center" vertical="center" wrapText="1"/>
    </xf>
    <xf numFmtId="0" fontId="21" fillId="0" borderId="36" xfId="0" applyNumberFormat="1" applyFont="1" applyFill="1" applyBorder="1" applyAlignment="1">
      <alignment horizontal="center" vertical="center" wrapText="1"/>
    </xf>
    <xf numFmtId="0" fontId="22" fillId="0" borderId="36" xfId="0" applyNumberFormat="1" applyFont="1" applyFill="1" applyBorder="1" applyAlignment="1">
      <alignment horizontal="center" vertical="center" wrapText="1"/>
    </xf>
    <xf numFmtId="176" fontId="21" fillId="0" borderId="35" xfId="0" applyNumberFormat="1" applyFont="1" applyFill="1" applyBorder="1" applyAlignment="1">
      <alignment horizontal="center" vertical="center" wrapText="1"/>
    </xf>
    <xf numFmtId="176" fontId="21" fillId="0" borderId="36" xfId="26" applyNumberFormat="1" applyFont="1" applyFill="1" applyBorder="1" applyAlignment="1">
      <alignment horizontal="center" vertical="center" wrapText="1"/>
    </xf>
    <xf numFmtId="0" fontId="21" fillId="0" borderId="36" xfId="26" applyNumberFormat="1" applyFont="1" applyFill="1" applyBorder="1" applyAlignment="1">
      <alignment horizontal="center" vertical="center" wrapText="1"/>
    </xf>
    <xf numFmtId="176" fontId="21" fillId="0" borderId="36" xfId="0" applyNumberFormat="1" applyFont="1" applyFill="1" applyBorder="1" applyAlignment="1">
      <alignment horizontal="center" vertical="center" wrapText="1"/>
    </xf>
    <xf numFmtId="0" fontId="23" fillId="0" borderId="33" xfId="0" applyNumberFormat="1" applyFont="1" applyBorder="1" applyAlignment="1">
      <alignment horizontal="center" vertical="center" wrapText="1"/>
    </xf>
    <xf numFmtId="0" fontId="8" fillId="15" borderId="8" xfId="0" applyNumberFormat="1" applyFont="1" applyFill="1" applyBorder="1" applyAlignment="1">
      <alignment horizontal="center" vertical="center" wrapText="1"/>
    </xf>
    <xf numFmtId="0" fontId="20" fillId="0" borderId="37" xfId="0" applyNumberFormat="1" applyFont="1" applyFill="1" applyBorder="1" applyAlignment="1">
      <alignment horizontal="center" vertical="center" wrapText="1"/>
    </xf>
    <xf numFmtId="0" fontId="8" fillId="15" borderId="8" xfId="26" applyNumberFormat="1" applyFont="1" applyFill="1" applyBorder="1" applyAlignment="1">
      <alignment horizontal="center" vertical="center" wrapText="1"/>
    </xf>
    <xf numFmtId="0" fontId="20" fillId="0" borderId="33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Alignment="1">
      <alignment horizontal="center" vertical="center"/>
    </xf>
    <xf numFmtId="10" fontId="20" fillId="0" borderId="33" xfId="0" applyNumberFormat="1" applyFont="1" applyFill="1" applyBorder="1" applyAlignment="1">
      <alignment horizontal="center" vertical="center" wrapText="1"/>
    </xf>
    <xf numFmtId="0" fontId="7" fillId="0" borderId="7" xfId="26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179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 wrapText="1"/>
    </xf>
    <xf numFmtId="176" fontId="7" fillId="0" borderId="8" xfId="26" applyNumberFormat="1" applyFont="1" applyFill="1" applyBorder="1" applyAlignment="1">
      <alignment horizontal="center" vertical="center" wrapText="1"/>
    </xf>
    <xf numFmtId="0" fontId="7" fillId="0" borderId="8" xfId="26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7" fillId="16" borderId="7" xfId="26" applyNumberFormat="1" applyFont="1" applyFill="1" applyBorder="1" applyAlignment="1">
      <alignment horizontal="center" vertical="center"/>
    </xf>
    <xf numFmtId="0" fontId="8" fillId="16" borderId="8" xfId="0" applyNumberFormat="1" applyFont="1" applyFill="1" applyBorder="1" applyAlignment="1">
      <alignment horizontal="center" vertical="center" wrapText="1"/>
    </xf>
    <xf numFmtId="0" fontId="7" fillId="16" borderId="7" xfId="0" applyNumberFormat="1" applyFont="1" applyFill="1" applyBorder="1" applyAlignment="1">
      <alignment horizontal="center" vertical="center" wrapText="1"/>
    </xf>
    <xf numFmtId="179" fontId="7" fillId="16" borderId="7" xfId="0" applyNumberFormat="1" applyFont="1" applyFill="1" applyBorder="1" applyAlignment="1">
      <alignment horizontal="center" vertical="center" wrapText="1"/>
    </xf>
    <xf numFmtId="0" fontId="7" fillId="16" borderId="8" xfId="0" applyNumberFormat="1" applyFont="1" applyFill="1" applyBorder="1" applyAlignment="1">
      <alignment horizontal="center" vertical="center" wrapText="1"/>
    </xf>
    <xf numFmtId="0" fontId="19" fillId="16" borderId="8" xfId="0" applyNumberFormat="1" applyFont="1" applyFill="1" applyBorder="1" applyAlignment="1">
      <alignment horizontal="center" vertical="center" wrapText="1"/>
    </xf>
    <xf numFmtId="176" fontId="7" fillId="16" borderId="7" xfId="0" applyNumberFormat="1" applyFont="1" applyFill="1" applyBorder="1" applyAlignment="1">
      <alignment horizontal="center" vertical="center" wrapText="1"/>
    </xf>
    <xf numFmtId="176" fontId="7" fillId="16" borderId="8" xfId="26" applyNumberFormat="1" applyFont="1" applyFill="1" applyBorder="1" applyAlignment="1">
      <alignment horizontal="center" vertical="center" wrapText="1"/>
    </xf>
    <xf numFmtId="0" fontId="7" fillId="16" borderId="8" xfId="26" applyNumberFormat="1" applyFont="1" applyFill="1" applyBorder="1" applyAlignment="1">
      <alignment horizontal="center" vertical="center" wrapText="1"/>
    </xf>
    <xf numFmtId="176" fontId="7" fillId="16" borderId="8" xfId="0" applyNumberFormat="1" applyFont="1" applyFill="1" applyBorder="1" applyAlignment="1">
      <alignment horizontal="center" vertical="center" wrapText="1"/>
    </xf>
    <xf numFmtId="178" fontId="21" fillId="0" borderId="35" xfId="0" applyNumberFormat="1" applyFont="1" applyFill="1" applyBorder="1" applyAlignment="1">
      <alignment horizontal="center" vertical="center" wrapText="1"/>
    </xf>
    <xf numFmtId="9" fontId="7" fillId="0" borderId="7" xfId="0" applyNumberFormat="1" applyFont="1" applyFill="1" applyBorder="1" applyAlignment="1">
      <alignment horizontal="center" vertical="center" wrapText="1"/>
    </xf>
    <xf numFmtId="9" fontId="21" fillId="0" borderId="36" xfId="0" applyNumberFormat="1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/>
    </xf>
    <xf numFmtId="49" fontId="7" fillId="15" borderId="8" xfId="0" applyNumberFormat="1" applyFont="1" applyFill="1" applyBorder="1" applyAlignment="1">
      <alignment horizontal="center" vertical="center"/>
    </xf>
    <xf numFmtId="0" fontId="24" fillId="0" borderId="8" xfId="0" applyNumberFormat="1" applyFont="1" applyFill="1" applyBorder="1" applyAlignment="1">
      <alignment horizontal="center" vertical="center" wrapText="1"/>
    </xf>
    <xf numFmtId="10" fontId="7" fillId="0" borderId="8" xfId="0" applyNumberFormat="1" applyFont="1" applyFill="1" applyBorder="1" applyAlignment="1">
      <alignment horizontal="center" vertical="center" wrapText="1"/>
    </xf>
    <xf numFmtId="0" fontId="25" fillId="0" borderId="38" xfId="0" applyNumberFormat="1" applyFont="1" applyBorder="1" applyAlignment="1">
      <alignment horizontal="center" vertical="center" wrapText="1"/>
    </xf>
    <xf numFmtId="10" fontId="25" fillId="0" borderId="38" xfId="0" applyNumberFormat="1" applyFont="1" applyBorder="1" applyAlignment="1">
      <alignment horizontal="center" vertical="center" wrapText="1"/>
    </xf>
    <xf numFmtId="0" fontId="25" fillId="0" borderId="33" xfId="0" applyNumberFormat="1" applyFont="1" applyBorder="1" applyAlignment="1">
      <alignment horizontal="center" vertical="center" wrapText="1"/>
    </xf>
    <xf numFmtId="179" fontId="25" fillId="0" borderId="38" xfId="0" applyNumberFormat="1" applyFont="1" applyBorder="1" applyAlignment="1">
      <alignment horizontal="center" vertical="center" wrapText="1"/>
    </xf>
    <xf numFmtId="0" fontId="26" fillId="0" borderId="36" xfId="0" applyNumberFormat="1" applyFont="1" applyFill="1" applyBorder="1" applyAlignment="1">
      <alignment horizontal="center" vertical="center" wrapText="1"/>
    </xf>
    <xf numFmtId="10" fontId="21" fillId="0" borderId="36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77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14" fontId="9" fillId="0" borderId="0" xfId="0" applyNumberFormat="1" applyFont="1" applyAlignment="1">
      <alignment horizontal="left" vertical="center"/>
    </xf>
    <xf numFmtId="9" fontId="9" fillId="0" borderId="12" xfId="0" applyNumberFormat="1" applyFont="1" applyBorder="1" applyAlignment="1">
      <alignment horizontal="center" vertical="center"/>
    </xf>
    <xf numFmtId="177" fontId="9" fillId="28" borderId="0" xfId="0" applyNumberFormat="1" applyFont="1" applyFill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76" fontId="28" fillId="0" borderId="12" xfId="0" applyNumberFormat="1" applyFont="1" applyBorder="1" applyAlignment="1">
      <alignment horizontal="center" vertical="center"/>
    </xf>
    <xf numFmtId="177" fontId="27" fillId="0" borderId="12" xfId="0" applyNumberFormat="1" applyFont="1" applyBorder="1" applyAlignment="1">
      <alignment horizontal="center" vertical="center"/>
    </xf>
    <xf numFmtId="176" fontId="27" fillId="0" borderId="12" xfId="0" applyNumberFormat="1" applyFont="1" applyBorder="1" applyAlignment="1">
      <alignment horizontal="center"/>
    </xf>
    <xf numFmtId="181" fontId="9" fillId="0" borderId="12" xfId="0" applyNumberFormat="1" applyFont="1" applyBorder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176" fontId="27" fillId="0" borderId="14" xfId="0" applyNumberFormat="1" applyFont="1" applyBorder="1" applyAlignment="1">
      <alignment horizontal="center" vertical="center"/>
    </xf>
    <xf numFmtId="177" fontId="27" fillId="0" borderId="14" xfId="0" applyNumberFormat="1" applyFont="1" applyBorder="1" applyAlignment="1">
      <alignment horizontal="center" vertical="center"/>
    </xf>
    <xf numFmtId="176" fontId="28" fillId="0" borderId="14" xfId="0" applyNumberFormat="1" applyFont="1" applyBorder="1" applyAlignment="1">
      <alignment horizontal="center" vertical="center"/>
    </xf>
    <xf numFmtId="181" fontId="9" fillId="0" borderId="14" xfId="0" applyNumberFormat="1" applyFont="1" applyBorder="1" applyAlignment="1">
      <alignment horizontal="center" vertical="center"/>
    </xf>
    <xf numFmtId="177" fontId="9" fillId="9" borderId="0" xfId="0" applyNumberFormat="1" applyFont="1" applyFill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6" fontId="27" fillId="0" borderId="41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176" fontId="28" fillId="0" borderId="41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176" fontId="27" fillId="0" borderId="42" xfId="0" applyNumberFormat="1" applyFont="1" applyBorder="1" applyAlignment="1">
      <alignment horizontal="center" vertical="center"/>
    </xf>
    <xf numFmtId="177" fontId="9" fillId="0" borderId="42" xfId="0" applyNumberFormat="1" applyFont="1" applyBorder="1" applyAlignment="1">
      <alignment horizontal="center" vertical="center"/>
    </xf>
    <xf numFmtId="176" fontId="28" fillId="0" borderId="42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177" fontId="9" fillId="9" borderId="40" xfId="0" applyNumberFormat="1" applyFont="1" applyFill="1" applyBorder="1" applyAlignment="1">
      <alignment horizontal="center" vertical="center"/>
    </xf>
    <xf numFmtId="176" fontId="27" fillId="0" borderId="40" xfId="0" applyNumberFormat="1" applyFont="1" applyBorder="1" applyAlignment="1">
      <alignment horizontal="center" vertical="center"/>
    </xf>
    <xf numFmtId="177" fontId="9" fillId="0" borderId="40" xfId="0" applyNumberFormat="1" applyFont="1" applyBorder="1" applyAlignment="1">
      <alignment horizontal="center" vertical="center"/>
    </xf>
    <xf numFmtId="176" fontId="28" fillId="0" borderId="40" xfId="0" applyNumberFormat="1" applyFont="1" applyBorder="1" applyAlignment="1">
      <alignment horizontal="center" vertical="center"/>
    </xf>
    <xf numFmtId="181" fontId="9" fillId="0" borderId="44" xfId="0" applyNumberFormat="1" applyFont="1" applyBorder="1" applyAlignment="1">
      <alignment horizontal="center" vertical="center"/>
    </xf>
    <xf numFmtId="181" fontId="9" fillId="0" borderId="45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10" borderId="47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177" fontId="9" fillId="9" borderId="48" xfId="0" applyNumberFormat="1" applyFont="1" applyFill="1" applyBorder="1" applyAlignment="1">
      <alignment horizontal="center" vertical="center"/>
    </xf>
    <xf numFmtId="0" fontId="9" fillId="9" borderId="49" xfId="0" applyFont="1" applyFill="1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177" fontId="9" fillId="9" borderId="50" xfId="0" applyNumberFormat="1" applyFont="1" applyFill="1" applyBorder="1" applyAlignment="1">
      <alignment horizontal="center" vertical="center"/>
    </xf>
    <xf numFmtId="176" fontId="9" fillId="0" borderId="41" xfId="0" applyNumberFormat="1" applyFont="1" applyBorder="1" applyAlignment="1">
      <alignment horizontal="center" vertical="center"/>
    </xf>
    <xf numFmtId="181" fontId="9" fillId="0" borderId="41" xfId="0" applyNumberFormat="1" applyFont="1" applyBorder="1" applyAlignment="1">
      <alignment horizontal="center" vertical="center"/>
    </xf>
    <xf numFmtId="176" fontId="9" fillId="0" borderId="42" xfId="0" applyNumberFormat="1" applyFont="1" applyBorder="1" applyAlignment="1">
      <alignment horizontal="center" vertical="center"/>
    </xf>
    <xf numFmtId="181" fontId="9" fillId="0" borderId="42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81" fontId="9" fillId="0" borderId="51" xfId="0" applyNumberFormat="1" applyFont="1" applyBorder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176" fontId="9" fillId="0" borderId="40" xfId="0" applyNumberFormat="1" applyFont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0" fillId="0" borderId="0" xfId="0" applyFill="1"/>
    <xf numFmtId="0" fontId="11" fillId="17" borderId="52" xfId="0" applyFont="1" applyFill="1" applyBorder="1" applyAlignment="1">
      <alignment horizontal="center" vertical="center"/>
    </xf>
    <xf numFmtId="0" fontId="11" fillId="17" borderId="53" xfId="0" applyFont="1" applyFill="1" applyBorder="1" applyAlignment="1">
      <alignment horizontal="center" vertical="center"/>
    </xf>
    <xf numFmtId="0" fontId="13" fillId="0" borderId="54" xfId="26" applyFill="1" applyBorder="1" applyAlignment="1">
      <alignment horizontal="center" vertical="center"/>
    </xf>
    <xf numFmtId="49" fontId="13" fillId="0" borderId="54" xfId="26" applyNumberFormat="1" applyFill="1" applyBorder="1" applyAlignment="1">
      <alignment horizontal="center" vertical="center" wrapText="1"/>
    </xf>
    <xf numFmtId="0" fontId="9" fillId="32" borderId="53" xfId="0" applyFont="1" applyFill="1" applyBorder="1" applyAlignment="1">
      <alignment horizontal="center" vertical="center"/>
    </xf>
    <xf numFmtId="0" fontId="29" fillId="32" borderId="53" xfId="0" applyFont="1" applyFill="1" applyBorder="1" applyAlignment="1">
      <alignment horizontal="center" vertical="center"/>
    </xf>
    <xf numFmtId="0" fontId="0" fillId="0" borderId="16" xfId="0" applyBorder="1"/>
    <xf numFmtId="0" fontId="13" fillId="0" borderId="55" xfId="26" applyFill="1" applyBorder="1" applyAlignment="1">
      <alignment horizontal="center" vertical="center"/>
    </xf>
    <xf numFmtId="49" fontId="13" fillId="0" borderId="55" xfId="26" applyNumberFormat="1" applyFill="1" applyBorder="1" applyAlignment="1">
      <alignment horizontal="center" vertical="center" wrapText="1"/>
    </xf>
    <xf numFmtId="0" fontId="13" fillId="33" borderId="56" xfId="38" applyFill="1" applyBorder="1" applyAlignment="1">
      <alignment horizontal="center" vertical="center" wrapText="1"/>
    </xf>
    <xf numFmtId="0" fontId="13" fillId="33" borderId="57" xfId="38" applyFill="1" applyBorder="1" applyAlignment="1">
      <alignment horizontal="center" vertical="center" wrapText="1"/>
    </xf>
    <xf numFmtId="0" fontId="13" fillId="33" borderId="58" xfId="38" applyFill="1" applyBorder="1" applyAlignment="1">
      <alignment horizontal="center" vertical="center" wrapText="1"/>
    </xf>
    <xf numFmtId="0" fontId="10" fillId="34" borderId="59" xfId="40" applyFont="1" applyFill="1" applyBorder="1" applyAlignment="1">
      <alignment horizontal="center" vertical="center" wrapText="1"/>
    </xf>
    <xf numFmtId="0" fontId="10" fillId="34" borderId="60" xfId="40" applyFont="1" applyFill="1" applyBorder="1" applyAlignment="1">
      <alignment horizontal="center" vertical="center" wrapText="1"/>
    </xf>
    <xf numFmtId="0" fontId="13" fillId="35" borderId="61" xfId="48" applyFill="1" applyBorder="1" applyAlignment="1">
      <alignment horizontal="center" vertical="center"/>
    </xf>
    <xf numFmtId="0" fontId="13" fillId="35" borderId="17" xfId="48" applyFill="1" applyBorder="1" applyAlignment="1">
      <alignment horizontal="center" vertical="center"/>
    </xf>
    <xf numFmtId="0" fontId="13" fillId="12" borderId="58" xfId="44" applyFill="1" applyBorder="1" applyAlignment="1">
      <alignment horizontal="center" vertical="center"/>
    </xf>
    <xf numFmtId="0" fontId="13" fillId="10" borderId="5" xfId="26" applyFill="1" applyBorder="1" applyAlignment="1">
      <alignment horizontal="center" vertical="center"/>
    </xf>
    <xf numFmtId="0" fontId="13" fillId="0" borderId="62" xfId="26" applyFill="1" applyBorder="1" applyAlignment="1">
      <alignment horizontal="center" vertical="center"/>
    </xf>
    <xf numFmtId="49" fontId="13" fillId="0" borderId="62" xfId="26" applyNumberFormat="1" applyFill="1" applyBorder="1" applyAlignment="1">
      <alignment horizontal="center" vertical="center" wrapText="1"/>
    </xf>
    <xf numFmtId="0" fontId="13" fillId="33" borderId="0" xfId="38" applyFill="1" applyBorder="1" applyAlignment="1">
      <alignment horizontal="center" vertical="center" wrapText="1"/>
    </xf>
    <xf numFmtId="0" fontId="13" fillId="33" borderId="52" xfId="38" applyFill="1" applyBorder="1" applyAlignment="1">
      <alignment horizontal="center" vertical="center" wrapText="1"/>
    </xf>
    <xf numFmtId="0" fontId="13" fillId="33" borderId="63" xfId="38" applyFill="1" applyBorder="1" applyAlignment="1">
      <alignment horizontal="center" vertical="center" wrapText="1"/>
    </xf>
    <xf numFmtId="0" fontId="10" fillId="34" borderId="64" xfId="40" applyFont="1" applyFill="1" applyBorder="1" applyAlignment="1">
      <alignment horizontal="center" vertical="center" wrapText="1"/>
    </xf>
    <xf numFmtId="0" fontId="10" fillId="34" borderId="65" xfId="40" applyFont="1" applyFill="1" applyBorder="1" applyAlignment="1">
      <alignment horizontal="center" vertical="center" wrapText="1"/>
    </xf>
    <xf numFmtId="0" fontId="13" fillId="35" borderId="63" xfId="48" applyFill="1" applyBorder="1" applyAlignment="1">
      <alignment horizontal="center" vertical="center" wrapText="1"/>
    </xf>
    <xf numFmtId="0" fontId="10" fillId="35" borderId="54" xfId="48" applyFont="1" applyFill="1" applyBorder="1" applyAlignment="1">
      <alignment horizontal="center" vertical="center" wrapText="1"/>
    </xf>
    <xf numFmtId="0" fontId="13" fillId="35" borderId="54" xfId="48" applyFill="1" applyBorder="1" applyAlignment="1">
      <alignment horizontal="center" vertical="center" wrapText="1"/>
    </xf>
    <xf numFmtId="0" fontId="10" fillId="12" borderId="63" xfId="44" applyFont="1" applyFill="1" applyBorder="1" applyAlignment="1">
      <alignment horizontal="center" vertical="center" wrapText="1"/>
    </xf>
    <xf numFmtId="0" fontId="10" fillId="10" borderId="63" xfId="26" applyFont="1" applyFill="1" applyBorder="1" applyAlignment="1">
      <alignment horizontal="center" vertical="center" wrapText="1"/>
    </xf>
    <xf numFmtId="0" fontId="13" fillId="0" borderId="63" xfId="26" applyNumberFormat="1" applyFont="1" applyFill="1" applyBorder="1" applyAlignment="1">
      <alignment horizontal="center" vertical="center"/>
    </xf>
    <xf numFmtId="0" fontId="13" fillId="0" borderId="54" xfId="26" applyNumberFormat="1" applyFont="1" applyFill="1" applyBorder="1" applyAlignment="1">
      <alignment horizontal="center" vertical="center" wrapText="1"/>
    </xf>
    <xf numFmtId="0" fontId="30" fillId="0" borderId="66" xfId="26" applyFont="1" applyFill="1" applyBorder="1" applyAlignment="1">
      <alignment horizontal="center" vertical="center"/>
    </xf>
    <xf numFmtId="0" fontId="30" fillId="0" borderId="54" xfId="26" applyFont="1" applyFill="1" applyBorder="1" applyAlignment="1">
      <alignment horizontal="center" vertical="center"/>
    </xf>
    <xf numFmtId="0" fontId="31" fillId="0" borderId="67" xfId="0" applyNumberFormat="1" applyFont="1" applyFill="1" applyBorder="1" applyAlignment="1">
      <alignment horizontal="center" wrapText="1"/>
    </xf>
    <xf numFmtId="181" fontId="31" fillId="0" borderId="68" xfId="0" applyNumberFormat="1" applyFont="1" applyFill="1" applyBorder="1" applyAlignment="1">
      <alignment horizontal="center" wrapText="1"/>
    </xf>
    <xf numFmtId="0" fontId="31" fillId="0" borderId="68" xfId="0" applyNumberFormat="1" applyFont="1" applyFill="1" applyBorder="1" applyAlignment="1">
      <alignment horizontal="center" wrapText="1"/>
    </xf>
    <xf numFmtId="0" fontId="13" fillId="0" borderId="63" xfId="0" applyNumberFormat="1" applyFont="1" applyFill="1" applyBorder="1" applyAlignment="1">
      <alignment horizontal="center" vertical="center"/>
    </xf>
    <xf numFmtId="0" fontId="13" fillId="0" borderId="63" xfId="26" applyNumberFormat="1" applyFont="1" applyFill="1" applyBorder="1" applyAlignment="1">
      <alignment horizontal="center" vertical="center" wrapText="1"/>
    </xf>
    <xf numFmtId="0" fontId="30" fillId="0" borderId="66" xfId="0" applyFont="1" applyFill="1" applyBorder="1" applyAlignment="1">
      <alignment horizontal="center" vertical="center"/>
    </xf>
    <xf numFmtId="0" fontId="30" fillId="0" borderId="63" xfId="0" applyFont="1" applyFill="1" applyBorder="1" applyAlignment="1">
      <alignment horizontal="center" vertical="center"/>
    </xf>
    <xf numFmtId="0" fontId="30" fillId="0" borderId="63" xfId="26" applyFont="1" applyFill="1" applyBorder="1" applyAlignment="1">
      <alignment horizontal="center" vertical="center"/>
    </xf>
    <xf numFmtId="0" fontId="13" fillId="0" borderId="63" xfId="0" applyNumberFormat="1" applyFont="1" applyBorder="1" applyAlignment="1">
      <alignment horizontal="center" vertical="center"/>
    </xf>
    <xf numFmtId="0" fontId="13" fillId="0" borderId="55" xfId="0" applyNumberFormat="1" applyFont="1" applyFill="1" applyBorder="1" applyAlignment="1">
      <alignment horizontal="center" vertical="center" wrapText="1"/>
    </xf>
    <xf numFmtId="0" fontId="13" fillId="0" borderId="69" xfId="26" applyNumberFormat="1" applyFont="1" applyFill="1" applyBorder="1" applyAlignment="1">
      <alignment horizontal="center" vertical="center"/>
    </xf>
    <xf numFmtId="0" fontId="30" fillId="0" borderId="55" xfId="26" applyFont="1" applyFill="1" applyBorder="1" applyAlignment="1">
      <alignment horizontal="center" vertical="center"/>
    </xf>
    <xf numFmtId="0" fontId="30" fillId="0" borderId="69" xfId="26" applyFont="1" applyFill="1" applyBorder="1" applyAlignment="1">
      <alignment horizontal="center" vertical="center"/>
    </xf>
    <xf numFmtId="0" fontId="31" fillId="0" borderId="68" xfId="0" applyNumberFormat="1" applyFont="1" applyFill="1" applyBorder="1" applyAlignment="1">
      <alignment horizontal="center"/>
    </xf>
    <xf numFmtId="0" fontId="13" fillId="0" borderId="62" xfId="0" applyNumberFormat="1" applyFont="1" applyFill="1" applyBorder="1" applyAlignment="1">
      <alignment horizontal="center" vertical="center"/>
    </xf>
    <xf numFmtId="0" fontId="13" fillId="0" borderId="70" xfId="0" applyNumberFormat="1" applyFont="1" applyFill="1" applyBorder="1" applyAlignment="1">
      <alignment horizontal="center" vertical="center"/>
    </xf>
    <xf numFmtId="0" fontId="30" fillId="0" borderId="71" xfId="0" applyFont="1" applyFill="1" applyBorder="1" applyAlignment="1">
      <alignment horizontal="center" vertical="center"/>
    </xf>
    <xf numFmtId="0" fontId="30" fillId="0" borderId="62" xfId="0" applyFont="1" applyFill="1" applyBorder="1" applyAlignment="1">
      <alignment horizontal="center" vertical="center"/>
    </xf>
    <xf numFmtId="0" fontId="0" fillId="0" borderId="72" xfId="0" applyFill="1" applyBorder="1"/>
    <xf numFmtId="0" fontId="13" fillId="0" borderId="69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/>
    </xf>
    <xf numFmtId="49" fontId="13" fillId="0" borderId="70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常规 2" xfId="50"/>
  </cellStyles>
  <tableStyles count="0" defaultTableStyle="TableStyleMedium2" defaultPivotStyle="PivotStyleLight16"/>
  <colors>
    <mruColors>
      <color rgb="00FFCC00"/>
      <color rgb="00FAD8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7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8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9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0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1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12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themeOverride" Target="../theme/themeOverride13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ColorStyle" Target="colors17.xml"/><Relationship Id="rId2" Type="http://schemas.microsoft.com/office/2011/relationships/chartStyle" Target="style17.xml"/><Relationship Id="rId1" Type="http://schemas.openxmlformats.org/officeDocument/2006/relationships/themeOverride" Target="../theme/themeOverride14.xml"/></Relationships>
</file>

<file path=xl/charts/_rels/chart18.xml.rels><?xml version="1.0" encoding="UTF-8" standalone="yes"?>
<Relationships xmlns="http://schemas.openxmlformats.org/package/2006/relationships"><Relationship Id="rId3" Type="http://schemas.microsoft.com/office/2011/relationships/chartColorStyle" Target="colors18.xml"/><Relationship Id="rId2" Type="http://schemas.microsoft.com/office/2011/relationships/chartStyle" Target="style18.xml"/><Relationship Id="rId1" Type="http://schemas.openxmlformats.org/officeDocument/2006/relationships/themeOverride" Target="../theme/themeOverride15.xml"/></Relationships>
</file>

<file path=xl/charts/_rels/chart19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themeOverride" Target="../theme/themeOverride16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ColorStyle" Target="colors20.xml"/><Relationship Id="rId2" Type="http://schemas.microsoft.com/office/2011/relationships/chartStyle" Target="style20.xml"/><Relationship Id="rId1" Type="http://schemas.openxmlformats.org/officeDocument/2006/relationships/themeOverride" Target="../theme/themeOverride17.xml"/></Relationships>
</file>

<file path=xl/charts/_rels/chart21.xml.rels><?xml version="1.0" encoding="UTF-8" standalone="yes"?>
<Relationships xmlns="http://schemas.openxmlformats.org/package/2006/relationships"><Relationship Id="rId3" Type="http://schemas.microsoft.com/office/2011/relationships/chartColorStyle" Target="colors21.xml"/><Relationship Id="rId2" Type="http://schemas.microsoft.com/office/2011/relationships/chartStyle" Target="style21.xml"/><Relationship Id="rId1" Type="http://schemas.openxmlformats.org/officeDocument/2006/relationships/themeOverride" Target="../theme/themeOverride18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ColorStyle" Target="colors22.xml"/><Relationship Id="rId2" Type="http://schemas.microsoft.com/office/2011/relationships/chartStyle" Target="style22.xml"/><Relationship Id="rId1" Type="http://schemas.openxmlformats.org/officeDocument/2006/relationships/themeOverride" Target="../theme/themeOverride19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ColorStyle" Target="colors23.xml"/><Relationship Id="rId2" Type="http://schemas.microsoft.com/office/2011/relationships/chartStyle" Target="style23.xml"/><Relationship Id="rId1" Type="http://schemas.openxmlformats.org/officeDocument/2006/relationships/themeOverride" Target="../theme/themeOverride20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ColorStyle" Target="colors24.xml"/><Relationship Id="rId2" Type="http://schemas.microsoft.com/office/2011/relationships/chartStyle" Target="style24.xml"/><Relationship Id="rId1" Type="http://schemas.openxmlformats.org/officeDocument/2006/relationships/themeOverride" Target="../theme/themeOverride21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ColorStyle" Target="colors25.xml"/><Relationship Id="rId2" Type="http://schemas.microsoft.com/office/2011/relationships/chartStyle" Target="style25.xml"/><Relationship Id="rId1" Type="http://schemas.openxmlformats.org/officeDocument/2006/relationships/themeOverride" Target="../theme/themeOverride22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26.xml"/><Relationship Id="rId2" Type="http://schemas.microsoft.com/office/2011/relationships/chartStyle" Target="style26.xml"/><Relationship Id="rId1" Type="http://schemas.openxmlformats.org/officeDocument/2006/relationships/themeOverride" Target="../theme/themeOverride23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ColorStyle" Target="colors27.xml"/><Relationship Id="rId2" Type="http://schemas.microsoft.com/office/2011/relationships/chartStyle" Target="style27.xml"/><Relationship Id="rId1" Type="http://schemas.openxmlformats.org/officeDocument/2006/relationships/themeOverride" Target="../theme/themeOverrid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线索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数据2!$D$3</c:f>
              <c:strCache>
                <c:ptCount val="1"/>
                <c:pt idx="0">
                  <c:v>5.1-5.10</c:v>
                </c:pt>
              </c:strCache>
            </c:strRef>
          </c:tx>
          <c:spPr>
            <a:solidFill>
              <a:srgbClr val="00206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00206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数据2!$C$4:$C$20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数据2!$D$4:$D$20</c:f>
              <c:numCache>
                <c:formatCode>General</c:formatCode>
                <c:ptCount val="17"/>
                <c:pt idx="0">
                  <c:v>3099</c:v>
                </c:pt>
                <c:pt idx="1">
                  <c:v>869</c:v>
                </c:pt>
                <c:pt idx="2">
                  <c:v>1160</c:v>
                </c:pt>
                <c:pt idx="3">
                  <c:v>579</c:v>
                </c:pt>
                <c:pt idx="4">
                  <c:v>68</c:v>
                </c:pt>
                <c:pt idx="5">
                  <c:v>683</c:v>
                </c:pt>
                <c:pt idx="6">
                  <c:v>502</c:v>
                </c:pt>
                <c:pt idx="7">
                  <c:v>0</c:v>
                </c:pt>
                <c:pt idx="8">
                  <c:v>343</c:v>
                </c:pt>
                <c:pt idx="9">
                  <c:v>467</c:v>
                </c:pt>
                <c:pt idx="10">
                  <c:v>593</c:v>
                </c:pt>
                <c:pt idx="11">
                  <c:v>319</c:v>
                </c:pt>
                <c:pt idx="12">
                  <c:v>539</c:v>
                </c:pt>
                <c:pt idx="13">
                  <c:v>260</c:v>
                </c:pt>
                <c:pt idx="14">
                  <c:v>19</c:v>
                </c:pt>
                <c:pt idx="15">
                  <c:v>550</c:v>
                </c:pt>
                <c:pt idx="16">
                  <c:v>188</c:v>
                </c:pt>
              </c:numCache>
            </c:numRef>
          </c:val>
        </c:ser>
        <c:ser>
          <c:idx val="1"/>
          <c:order val="1"/>
          <c:tx>
            <c:strRef>
              <c:f>数据2!$E$3</c:f>
              <c:strCache>
                <c:ptCount val="1"/>
                <c:pt idx="0">
                  <c:v>5.11-5.17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C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数据2!$C$4:$C$20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数据2!$E$4:$E$20</c:f>
              <c:numCache>
                <c:formatCode>General</c:formatCode>
                <c:ptCount val="17"/>
                <c:pt idx="0">
                  <c:v>1529</c:v>
                </c:pt>
                <c:pt idx="1">
                  <c:v>495</c:v>
                </c:pt>
                <c:pt idx="2">
                  <c:v>681</c:v>
                </c:pt>
                <c:pt idx="3">
                  <c:v>302</c:v>
                </c:pt>
                <c:pt idx="4">
                  <c:v>369</c:v>
                </c:pt>
                <c:pt idx="5">
                  <c:v>765</c:v>
                </c:pt>
                <c:pt idx="6">
                  <c:v>181</c:v>
                </c:pt>
                <c:pt idx="7">
                  <c:v>0</c:v>
                </c:pt>
                <c:pt idx="8">
                  <c:v>351</c:v>
                </c:pt>
                <c:pt idx="9">
                  <c:v>671</c:v>
                </c:pt>
                <c:pt idx="10">
                  <c:v>461</c:v>
                </c:pt>
                <c:pt idx="11">
                  <c:v>282</c:v>
                </c:pt>
                <c:pt idx="12">
                  <c:v>525</c:v>
                </c:pt>
                <c:pt idx="13">
                  <c:v>212</c:v>
                </c:pt>
                <c:pt idx="14">
                  <c:v>2</c:v>
                </c:pt>
                <c:pt idx="15">
                  <c:v>285</c:v>
                </c:pt>
                <c:pt idx="16">
                  <c:v>84</c:v>
                </c:pt>
              </c:numCache>
            </c:numRef>
          </c:val>
        </c:ser>
        <c:ser>
          <c:idx val="2"/>
          <c:order val="2"/>
          <c:tx>
            <c:strRef>
              <c:f>数据2!$F$3</c:f>
              <c:strCache>
                <c:ptCount val="1"/>
                <c:pt idx="0">
                  <c:v>5.18-5.24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数据2!$C$4:$C$20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数据2!$F$4:$F$20</c:f>
              <c:numCache>
                <c:formatCode>General</c:formatCode>
                <c:ptCount val="17"/>
                <c:pt idx="0">
                  <c:v>1277</c:v>
                </c:pt>
                <c:pt idx="1">
                  <c:v>1446</c:v>
                </c:pt>
                <c:pt idx="2">
                  <c:v>902</c:v>
                </c:pt>
                <c:pt idx="3">
                  <c:v>870</c:v>
                </c:pt>
                <c:pt idx="4">
                  <c:v>345</c:v>
                </c:pt>
                <c:pt idx="5">
                  <c:v>867</c:v>
                </c:pt>
                <c:pt idx="6">
                  <c:v>394</c:v>
                </c:pt>
                <c:pt idx="7">
                  <c:v>461</c:v>
                </c:pt>
                <c:pt idx="8">
                  <c:v>471</c:v>
                </c:pt>
                <c:pt idx="9">
                  <c:v>1074</c:v>
                </c:pt>
                <c:pt idx="10">
                  <c:v>1200</c:v>
                </c:pt>
                <c:pt idx="11">
                  <c:v>338</c:v>
                </c:pt>
                <c:pt idx="12">
                  <c:v>331</c:v>
                </c:pt>
                <c:pt idx="13">
                  <c:v>225</c:v>
                </c:pt>
                <c:pt idx="14">
                  <c:v>22</c:v>
                </c:pt>
                <c:pt idx="15">
                  <c:v>393</c:v>
                </c:pt>
                <c:pt idx="16">
                  <c:v>282</c:v>
                </c:pt>
              </c:numCache>
            </c:numRef>
          </c:val>
        </c:ser>
        <c:ser>
          <c:idx val="3"/>
          <c:order val="3"/>
          <c:tx>
            <c:strRef>
              <c:f>数据2!$G$3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数据2!$C$4:$C$20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数据2!$G$4:$G$20</c:f>
              <c:numCache>
                <c:formatCode>General</c:formatCode>
                <c:ptCount val="17"/>
                <c:pt idx="0">
                  <c:v>731</c:v>
                </c:pt>
                <c:pt idx="1">
                  <c:v>1054</c:v>
                </c:pt>
                <c:pt idx="2">
                  <c:v>1112</c:v>
                </c:pt>
                <c:pt idx="3">
                  <c:v>557</c:v>
                </c:pt>
                <c:pt idx="4">
                  <c:v>384</c:v>
                </c:pt>
                <c:pt idx="5">
                  <c:v>593</c:v>
                </c:pt>
                <c:pt idx="6">
                  <c:v>316</c:v>
                </c:pt>
                <c:pt idx="7">
                  <c:v>497</c:v>
                </c:pt>
                <c:pt idx="8">
                  <c:v>324</c:v>
                </c:pt>
                <c:pt idx="9">
                  <c:v>840</c:v>
                </c:pt>
                <c:pt idx="10">
                  <c:v>1337</c:v>
                </c:pt>
                <c:pt idx="11">
                  <c:v>365</c:v>
                </c:pt>
                <c:pt idx="12">
                  <c:v>719</c:v>
                </c:pt>
                <c:pt idx="13">
                  <c:v>220</c:v>
                </c:pt>
                <c:pt idx="14">
                  <c:v>74</c:v>
                </c:pt>
                <c:pt idx="15">
                  <c:v>941</c:v>
                </c:pt>
                <c:pt idx="16">
                  <c:v>398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944415"/>
        <c:axId val="429288239"/>
      </c:barChart>
      <c:catAx>
        <c:axId val="13194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429288239"/>
        <c:crosses val="autoZero"/>
        <c:auto val="1"/>
        <c:lblAlgn val="ctr"/>
        <c:lblOffset val="100"/>
        <c:noMultiLvlLbl val="0"/>
      </c:catAx>
      <c:valAx>
        <c:axId val="429288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194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7a4be8-914a-4beb-8daa-90f5e29f189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 sz="900">
          <a:latin typeface="微软雅黑" panose="020B0503020204020204" pitchFamily="34" charset="-122"/>
          <a:ea typeface="微软雅黑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到店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数据2!$D$24</c:f>
              <c:strCache>
                <c:ptCount val="1"/>
                <c:pt idx="0">
                  <c:v>5.1-5.10</c:v>
                </c:pt>
              </c:strCache>
            </c:strRef>
          </c:tx>
          <c:spPr>
            <a:solidFill>
              <a:srgbClr val="00206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00206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数据2!$C$25:$C$41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数据2!$D$25:$D$41</c:f>
              <c:numCache>
                <c:formatCode>General</c:formatCode>
                <c:ptCount val="17"/>
                <c:pt idx="0">
                  <c:v>77</c:v>
                </c:pt>
                <c:pt idx="1">
                  <c:v>25</c:v>
                </c:pt>
                <c:pt idx="2">
                  <c:v>27</c:v>
                </c:pt>
                <c:pt idx="3">
                  <c:v>22</c:v>
                </c:pt>
                <c:pt idx="4">
                  <c:v>10</c:v>
                </c:pt>
                <c:pt idx="5">
                  <c:v>41</c:v>
                </c:pt>
                <c:pt idx="6">
                  <c:v>76</c:v>
                </c:pt>
                <c:pt idx="7">
                  <c:v>0</c:v>
                </c:pt>
                <c:pt idx="8">
                  <c:v>17</c:v>
                </c:pt>
                <c:pt idx="9">
                  <c:v>99</c:v>
                </c:pt>
                <c:pt idx="10">
                  <c:v>54</c:v>
                </c:pt>
                <c:pt idx="11">
                  <c:v>54</c:v>
                </c:pt>
                <c:pt idx="12">
                  <c:v>1</c:v>
                </c:pt>
                <c:pt idx="13">
                  <c:v>22</c:v>
                </c:pt>
                <c:pt idx="14">
                  <c:v>7</c:v>
                </c:pt>
                <c:pt idx="15">
                  <c:v>0</c:v>
                </c:pt>
                <c:pt idx="16">
                  <c:v>2</c:v>
                </c:pt>
              </c:numCache>
            </c:numRef>
          </c:val>
        </c:ser>
        <c:ser>
          <c:idx val="1"/>
          <c:order val="1"/>
          <c:tx>
            <c:strRef>
              <c:f>数据2!$E$24</c:f>
              <c:strCache>
                <c:ptCount val="1"/>
                <c:pt idx="0">
                  <c:v>5.11-5.17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C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数据2!$C$25:$C$41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数据2!$E$25:$E$41</c:f>
              <c:numCache>
                <c:formatCode>General</c:formatCode>
                <c:ptCount val="17"/>
                <c:pt idx="0">
                  <c:v>22</c:v>
                </c:pt>
                <c:pt idx="1">
                  <c:v>13</c:v>
                </c:pt>
                <c:pt idx="2">
                  <c:v>21</c:v>
                </c:pt>
                <c:pt idx="3">
                  <c:v>8</c:v>
                </c:pt>
                <c:pt idx="4">
                  <c:v>16</c:v>
                </c:pt>
                <c:pt idx="5">
                  <c:v>29</c:v>
                </c:pt>
                <c:pt idx="6">
                  <c:v>27</c:v>
                </c:pt>
                <c:pt idx="7">
                  <c:v>0</c:v>
                </c:pt>
                <c:pt idx="8">
                  <c:v>9</c:v>
                </c:pt>
                <c:pt idx="9">
                  <c:v>67</c:v>
                </c:pt>
                <c:pt idx="10">
                  <c:v>47</c:v>
                </c:pt>
                <c:pt idx="11">
                  <c:v>11</c:v>
                </c:pt>
                <c:pt idx="12">
                  <c:v>4</c:v>
                </c:pt>
                <c:pt idx="13">
                  <c:v>6</c:v>
                </c:pt>
                <c:pt idx="14">
                  <c:v>1</c:v>
                </c:pt>
                <c:pt idx="15">
                  <c:v>3</c:v>
                </c:pt>
                <c:pt idx="16">
                  <c:v>6</c:v>
                </c:pt>
              </c:numCache>
            </c:numRef>
          </c:val>
        </c:ser>
        <c:ser>
          <c:idx val="2"/>
          <c:order val="2"/>
          <c:tx>
            <c:strRef>
              <c:f>数据2!$F$24</c:f>
              <c:strCache>
                <c:ptCount val="1"/>
                <c:pt idx="0">
                  <c:v>5.18-5.24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数据2!$C$25:$C$41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数据2!$F$25:$F$41</c:f>
              <c:numCache>
                <c:formatCode>General</c:formatCode>
                <c:ptCount val="17"/>
                <c:pt idx="0">
                  <c:v>29</c:v>
                </c:pt>
                <c:pt idx="1">
                  <c:v>26</c:v>
                </c:pt>
                <c:pt idx="2">
                  <c:v>31</c:v>
                </c:pt>
                <c:pt idx="3">
                  <c:v>27</c:v>
                </c:pt>
                <c:pt idx="4">
                  <c:v>18</c:v>
                </c:pt>
                <c:pt idx="5">
                  <c:v>50</c:v>
                </c:pt>
                <c:pt idx="6">
                  <c:v>52</c:v>
                </c:pt>
                <c:pt idx="7">
                  <c:v>41</c:v>
                </c:pt>
                <c:pt idx="8">
                  <c:v>22</c:v>
                </c:pt>
                <c:pt idx="9">
                  <c:v>91</c:v>
                </c:pt>
                <c:pt idx="10">
                  <c:v>92</c:v>
                </c:pt>
                <c:pt idx="11">
                  <c:v>39</c:v>
                </c:pt>
                <c:pt idx="12">
                  <c:v>11</c:v>
                </c:pt>
                <c:pt idx="13">
                  <c:v>11</c:v>
                </c:pt>
                <c:pt idx="14">
                  <c:v>3</c:v>
                </c:pt>
                <c:pt idx="15">
                  <c:v>8</c:v>
                </c:pt>
                <c:pt idx="16">
                  <c:v>21</c:v>
                </c:pt>
              </c:numCache>
            </c:numRef>
          </c:val>
        </c:ser>
        <c:ser>
          <c:idx val="3"/>
          <c:order val="3"/>
          <c:tx>
            <c:strRef>
              <c:f>数据2!$G$24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数据2!$C$25:$C$41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数据2!$G$25:$G$41</c:f>
              <c:numCache>
                <c:formatCode>General</c:formatCode>
                <c:ptCount val="17"/>
                <c:pt idx="0">
                  <c:v>22</c:v>
                </c:pt>
                <c:pt idx="1">
                  <c:v>51</c:v>
                </c:pt>
                <c:pt idx="2">
                  <c:v>60</c:v>
                </c:pt>
                <c:pt idx="3">
                  <c:v>15</c:v>
                </c:pt>
                <c:pt idx="4">
                  <c:v>25</c:v>
                </c:pt>
                <c:pt idx="5">
                  <c:v>33</c:v>
                </c:pt>
                <c:pt idx="6">
                  <c:v>37</c:v>
                </c:pt>
                <c:pt idx="7">
                  <c:v>25</c:v>
                </c:pt>
                <c:pt idx="8">
                  <c:v>10</c:v>
                </c:pt>
                <c:pt idx="9">
                  <c:v>127</c:v>
                </c:pt>
                <c:pt idx="10">
                  <c:v>120</c:v>
                </c:pt>
                <c:pt idx="11">
                  <c:v>42</c:v>
                </c:pt>
                <c:pt idx="12">
                  <c:v>25</c:v>
                </c:pt>
                <c:pt idx="13">
                  <c:v>29</c:v>
                </c:pt>
                <c:pt idx="14">
                  <c:v>23</c:v>
                </c:pt>
                <c:pt idx="15">
                  <c:v>28</c:v>
                </c:pt>
                <c:pt idx="16">
                  <c:v>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944415"/>
        <c:axId val="429288239"/>
      </c:barChart>
      <c:catAx>
        <c:axId val="13194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429288239"/>
        <c:crosses val="autoZero"/>
        <c:auto val="1"/>
        <c:lblAlgn val="ctr"/>
        <c:lblOffset val="100"/>
        <c:noMultiLvlLbl val="0"/>
      </c:catAx>
      <c:valAx>
        <c:axId val="429288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194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b6d943-5cd7-4e52-a218-1c8157b15f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 sz="900">
          <a:latin typeface="微软雅黑" panose="020B0503020204020204" pitchFamily="34" charset="-122"/>
          <a:ea typeface="微软雅黑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订单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数据2!$D$44</c:f>
              <c:strCache>
                <c:ptCount val="1"/>
                <c:pt idx="0">
                  <c:v>5.1-5.10</c:v>
                </c:pt>
              </c:strCache>
            </c:strRef>
          </c:tx>
          <c:spPr>
            <a:solidFill>
              <a:srgbClr val="00206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00206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数据2!$C$45:$C$61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数据2!$D$45:$D$61</c:f>
              <c:numCache>
                <c:formatCode>General</c:formatCode>
                <c:ptCount val="17"/>
                <c:pt idx="0">
                  <c:v>36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1</c:v>
                </c:pt>
                <c:pt idx="5">
                  <c:v>11</c:v>
                </c:pt>
                <c:pt idx="6">
                  <c:v>15</c:v>
                </c:pt>
                <c:pt idx="7">
                  <c:v>0</c:v>
                </c:pt>
                <c:pt idx="8">
                  <c:v>10</c:v>
                </c:pt>
                <c:pt idx="9">
                  <c:v>19</c:v>
                </c:pt>
                <c:pt idx="10">
                  <c:v>12</c:v>
                </c:pt>
                <c:pt idx="11">
                  <c:v>11</c:v>
                </c:pt>
                <c:pt idx="12">
                  <c:v>4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</c:ser>
        <c:ser>
          <c:idx val="1"/>
          <c:order val="1"/>
          <c:tx>
            <c:strRef>
              <c:f>数据2!$E$44</c:f>
              <c:strCache>
                <c:ptCount val="1"/>
                <c:pt idx="0">
                  <c:v>5.11-5.17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C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数据2!$C$45:$C$61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数据2!$E$45:$E$61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13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7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数据2!$F$44</c:f>
              <c:strCache>
                <c:ptCount val="1"/>
                <c:pt idx="0">
                  <c:v>5.18-5.24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数据2!$C$45:$C$61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数据2!$F$45:$F$61</c:f>
              <c:numCache>
                <c:formatCode>General</c:formatCode>
                <c:ptCount val="17"/>
                <c:pt idx="0">
                  <c:v>9</c:v>
                </c:pt>
                <c:pt idx="1">
                  <c:v>9</c:v>
                </c:pt>
                <c:pt idx="2">
                  <c:v>17</c:v>
                </c:pt>
                <c:pt idx="3">
                  <c:v>7</c:v>
                </c:pt>
                <c:pt idx="4">
                  <c:v>2</c:v>
                </c:pt>
                <c:pt idx="5">
                  <c:v>9</c:v>
                </c:pt>
                <c:pt idx="6">
                  <c:v>10</c:v>
                </c:pt>
                <c:pt idx="7">
                  <c:v>16</c:v>
                </c:pt>
                <c:pt idx="8">
                  <c:v>6</c:v>
                </c:pt>
                <c:pt idx="9">
                  <c:v>21</c:v>
                </c:pt>
                <c:pt idx="10">
                  <c:v>24</c:v>
                </c:pt>
                <c:pt idx="11">
                  <c:v>13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</c:ser>
        <c:ser>
          <c:idx val="3"/>
          <c:order val="3"/>
          <c:tx>
            <c:strRef>
              <c:f>数据2!$G$44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数据2!$C$45:$C$61</c:f>
              <c:strCache>
                <c:ptCount val="17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  <c:pt idx="10">
                  <c:v>汕头零跑</c:v>
                </c:pt>
                <c:pt idx="11">
                  <c:v>清远港鸿</c:v>
                </c:pt>
                <c:pt idx="12">
                  <c:v>从化零跑</c:v>
                </c:pt>
                <c:pt idx="13">
                  <c:v>清远奇晟</c:v>
                </c:pt>
                <c:pt idx="14">
                  <c:v>清远英德</c:v>
                </c:pt>
                <c:pt idx="15">
                  <c:v>广花店</c:v>
                </c:pt>
                <c:pt idx="16">
                  <c:v>北站店</c:v>
                </c:pt>
              </c:strCache>
            </c:strRef>
          </c:cat>
          <c:val>
            <c:numRef>
              <c:f>数据2!$G$45:$G$61</c:f>
              <c:numCache>
                <c:formatCode>General</c:formatCode>
                <c:ptCount val="17"/>
                <c:pt idx="0">
                  <c:v>7</c:v>
                </c:pt>
                <c:pt idx="1">
                  <c:v>12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  <c:pt idx="7">
                  <c:v>9</c:v>
                </c:pt>
                <c:pt idx="8">
                  <c:v>2</c:v>
                </c:pt>
                <c:pt idx="9">
                  <c:v>22</c:v>
                </c:pt>
                <c:pt idx="10">
                  <c:v>35</c:v>
                </c:pt>
                <c:pt idx="11">
                  <c:v>5</c:v>
                </c:pt>
                <c:pt idx="12">
                  <c:v>11</c:v>
                </c:pt>
                <c:pt idx="13">
                  <c:v>3</c:v>
                </c:pt>
                <c:pt idx="14">
                  <c:v>0</c:v>
                </c:pt>
                <c:pt idx="15">
                  <c:v>13</c:v>
                </c:pt>
                <c:pt idx="16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944415"/>
        <c:axId val="429288239"/>
      </c:barChart>
      <c:catAx>
        <c:axId val="13194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429288239"/>
        <c:crosses val="autoZero"/>
        <c:auto val="1"/>
        <c:lblAlgn val="ctr"/>
        <c:lblOffset val="100"/>
        <c:noMultiLvlLbl val="0"/>
      </c:catAx>
      <c:valAx>
        <c:axId val="429288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194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239382-3ab6-4b9d-a651-805e5de3cac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 sz="900">
          <a:latin typeface="微软雅黑" panose="020B0503020204020204" pitchFamily="34" charset="-122"/>
          <a:ea typeface="微软雅黑" panose="020B0503020204020204" pitchFamily="3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每月订单对比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'2026月度数据对比'!$C$1:$C$2</c:f>
              <c:strCache>
                <c:ptCount val="1"/>
                <c:pt idx="0">
                  <c:v>每月订单对比 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'2026月度数据对比'!$C$3:$C$12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13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7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'2026月度数据对比'!$D$1:$D$2</c:f>
              <c:strCache>
                <c:ptCount val="1"/>
                <c:pt idx="0">
                  <c:v>每月订单对比 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'2026月度数据对比'!$D$3:$D$12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17</c:v>
                </c:pt>
                <c:pt idx="3">
                  <c:v>7</c:v>
                </c:pt>
                <c:pt idx="4">
                  <c:v>2</c:v>
                </c:pt>
                <c:pt idx="5">
                  <c:v>9</c:v>
                </c:pt>
                <c:pt idx="6">
                  <c:v>10</c:v>
                </c:pt>
                <c:pt idx="7">
                  <c:v>16</c:v>
                </c:pt>
                <c:pt idx="8">
                  <c:v>6</c:v>
                </c:pt>
                <c:pt idx="9">
                  <c:v>21</c:v>
                </c:pt>
              </c:numCache>
            </c:numRef>
          </c:val>
        </c:ser>
        <c:ser>
          <c:idx val="2"/>
          <c:order val="2"/>
          <c:tx>
            <c:strRef>
              <c:f>'2026月度数据对比'!$E$1:$E$2</c:f>
              <c:strCache>
                <c:ptCount val="1"/>
                <c:pt idx="0">
                  <c:v>每月订单对比 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'2026月度数据对比'!$E$3:$E$12</c:f>
              <c:numCache>
                <c:formatCode>General</c:formatCode>
                <c:ptCount val="10"/>
                <c:pt idx="0">
                  <c:v>7</c:v>
                </c:pt>
                <c:pt idx="1">
                  <c:v>12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  <c:pt idx="7">
                  <c:v>9</c:v>
                </c:pt>
                <c:pt idx="8">
                  <c:v>2</c:v>
                </c:pt>
                <c:pt idx="9">
                  <c:v>22</c:v>
                </c:pt>
              </c:numCache>
            </c:numRef>
          </c:val>
        </c:ser>
        <c:ser>
          <c:idx val="3"/>
          <c:order val="3"/>
          <c:tx>
            <c:strRef>
              <c:f>'2026月度数据对比'!$F$1:$F$2</c:f>
              <c:strCache>
                <c:ptCount val="1"/>
                <c:pt idx="0">
                  <c:v>每月订单对比 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'2026月度数据对比'!$F$3:$F$12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4</c:v>
                </c:pt>
                <c:pt idx="9">
                  <c:v>20</c:v>
                </c:pt>
              </c:numCache>
            </c:numRef>
          </c:val>
        </c:ser>
        <c:ser>
          <c:idx val="4"/>
          <c:order val="4"/>
          <c:tx>
            <c:strRef>
              <c:f>'2026月度数据对比'!$G$1:$G$2</c:f>
              <c:strCache>
                <c:ptCount val="1"/>
                <c:pt idx="0">
                  <c:v>每月订单对比 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'2026月度数据对比'!$G$3:$G$12</c:f>
              <c:numCache>
                <c:formatCode>General</c:formatCode>
                <c:ptCount val="10"/>
              </c:numCache>
            </c:numRef>
          </c:val>
        </c:ser>
        <c:ser>
          <c:idx val="5"/>
          <c:order val="5"/>
          <c:tx>
            <c:strRef>
              <c:f>'2026月度数据对比'!$H$1:$H$2</c:f>
              <c:strCache>
                <c:ptCount val="1"/>
                <c:pt idx="0">
                  <c:v>每月订单对比 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'2026月度数据对比'!$H$3:$H$12</c:f>
              <c:numCache>
                <c:formatCode>General</c:formatCode>
                <c:ptCount val="10"/>
              </c:numCache>
            </c:numRef>
          </c:val>
        </c:ser>
        <c:ser>
          <c:idx val="6"/>
          <c:order val="6"/>
          <c:tx>
            <c:strRef>
              <c:f>'2026月度数据对比'!$I$1:$I$2</c:f>
              <c:strCache>
                <c:ptCount val="1"/>
                <c:pt idx="0">
                  <c:v>每月订单对比 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'2026月度数据对比'!$I$3:$I$12</c:f>
              <c:numCache>
                <c:formatCode>General</c:formatCode>
                <c:ptCount val="10"/>
              </c:numCache>
            </c:numRef>
          </c:val>
        </c:ser>
        <c:ser>
          <c:idx val="7"/>
          <c:order val="7"/>
          <c:tx>
            <c:strRef>
              <c:f>'2026月度数据对比'!$J$1:$J$2</c:f>
              <c:strCache>
                <c:ptCount val="1"/>
                <c:pt idx="0">
                  <c:v>每月订单对比 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'2026月度数据对比'!$A$3:$A$12</c:f>
              <c:strCache>
                <c:ptCount val="10"/>
                <c:pt idx="0">
                  <c:v>花都广本</c:v>
                </c:pt>
                <c:pt idx="1">
                  <c:v>花都建设北零跑</c:v>
                </c:pt>
                <c:pt idx="2">
                  <c:v>白云零跑</c:v>
                </c:pt>
                <c:pt idx="3">
                  <c:v>花都传祺</c:v>
                </c:pt>
                <c:pt idx="4">
                  <c:v>清远极氪</c:v>
                </c:pt>
                <c:pt idx="5">
                  <c:v>清远广本</c:v>
                </c:pt>
                <c:pt idx="6">
                  <c:v>鑫海广本</c:v>
                </c:pt>
                <c:pt idx="7">
                  <c:v>汕头广本</c:v>
                </c:pt>
                <c:pt idx="8">
                  <c:v>江门大众</c:v>
                </c:pt>
                <c:pt idx="9">
                  <c:v>河源零跑</c:v>
                </c:pt>
              </c:strCache>
            </c:strRef>
          </c:cat>
          <c:val>
            <c:numRef>
              <c:f>'2026月度数据对比'!$J$3:$J$12</c:f>
              <c:numCache>
                <c:formatCode>General</c:formatCode>
                <c:ptCount val="1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62"/>
        <c:axId val="362890113"/>
        <c:axId val="914149502"/>
      </c:barChart>
      <c:catAx>
        <c:axId val="3628901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14149502"/>
        <c:crosses val="autoZero"/>
        <c:auto val="1"/>
        <c:lblAlgn val="ctr"/>
        <c:lblOffset val="100"/>
        <c:noMultiLvlLbl val="0"/>
      </c:catAx>
      <c:valAx>
        <c:axId val="9141495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62890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6637b-dd23-4142-848e-cab6640afd7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每月新媒体订单占比</a:t>
            </a:r>
            <a:endParaRPr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8974845752254"/>
          <c:y val="0.0133774834437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'2026月度数据对比'!$O$2</c:f>
              <c:strCache>
                <c:ptCount val="1"/>
                <c:pt idx="0">
                  <c:v>店名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'2026月度数据对比'!$O$3:$O$12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'2026月度数据对比'!$Q$2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260334490375513"/>
                  <c:y val="-0.042066027689030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'2026月度数据对比'!$Q$3:$Q$12</c:f>
              <c:numCache>
                <c:formatCode>0.0%</c:formatCode>
                <c:ptCount val="10"/>
                <c:pt idx="0">
                  <c:v>0.1</c:v>
                </c:pt>
                <c:pt idx="1">
                  <c:v>0.23</c:v>
                </c:pt>
                <c:pt idx="2">
                  <c:v>0.6</c:v>
                </c:pt>
                <c:pt idx="3">
                  <c:v>0.17</c:v>
                </c:pt>
                <c:pt idx="4">
                  <c:v>0</c:v>
                </c:pt>
                <c:pt idx="5">
                  <c:v>0.11</c:v>
                </c:pt>
                <c:pt idx="6">
                  <c:v>0.15</c:v>
                </c:pt>
                <c:pt idx="8">
                  <c:v>0.25</c:v>
                </c:pt>
                <c:pt idx="9">
                  <c:v>0.22</c:v>
                </c:pt>
              </c:numCache>
            </c:numRef>
          </c:val>
        </c:ser>
        <c:ser>
          <c:idx val="2"/>
          <c:order val="2"/>
          <c:tx>
            <c:strRef>
              <c:f>'2026月度数据对比'!$R$2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-0.00188427416189056"/>
                  <c:y val="0.01728004221079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'2026月度数据对比'!$R$3:$R$12</c:f>
              <c:numCache>
                <c:formatCode>0.0%</c:formatCode>
                <c:ptCount val="10"/>
                <c:pt idx="0">
                  <c:v>0.158</c:v>
                </c:pt>
                <c:pt idx="1">
                  <c:v>0.13</c:v>
                </c:pt>
                <c:pt idx="2">
                  <c:v>0.346</c:v>
                </c:pt>
                <c:pt idx="3">
                  <c:v>0.18</c:v>
                </c:pt>
                <c:pt idx="4">
                  <c:v>0.03</c:v>
                </c:pt>
                <c:pt idx="5">
                  <c:v>0.2</c:v>
                </c:pt>
                <c:pt idx="6">
                  <c:v>0.15</c:v>
                </c:pt>
                <c:pt idx="7">
                  <c:v>0.15</c:v>
                </c:pt>
                <c:pt idx="8">
                  <c:v>0.1</c:v>
                </c:pt>
                <c:pt idx="9">
                  <c:v>0.102</c:v>
                </c:pt>
              </c:numCache>
            </c:numRef>
          </c:val>
        </c:ser>
        <c:ser>
          <c:idx val="3"/>
          <c:order val="3"/>
          <c:tx>
            <c:strRef>
              <c:f>'2026月度数据对比'!$S$2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0.00840072230509539"/>
                  <c:y val="-0.044057512201556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'2026月度数据对比'!$S$3:$S$12</c:f>
              <c:numCache>
                <c:formatCode>0.0%</c:formatCode>
                <c:ptCount val="10"/>
                <c:pt idx="0">
                  <c:v>0.008</c:v>
                </c:pt>
                <c:pt idx="1">
                  <c:v>0.1043</c:v>
                </c:pt>
                <c:pt idx="2">
                  <c:v>0.1</c:v>
                </c:pt>
                <c:pt idx="3">
                  <c:v>0.1</c:v>
                </c:pt>
                <c:pt idx="4">
                  <c:v>0.067</c:v>
                </c:pt>
                <c:pt idx="5">
                  <c:v>0.17</c:v>
                </c:pt>
                <c:pt idx="6">
                  <c:v>0.15</c:v>
                </c:pt>
                <c:pt idx="7">
                  <c:v>0.12</c:v>
                </c:pt>
                <c:pt idx="8">
                  <c:v>0.1</c:v>
                </c:pt>
                <c:pt idx="9">
                  <c:v>0.169</c:v>
                </c:pt>
              </c:numCache>
            </c:numRef>
          </c:val>
        </c:ser>
        <c:ser>
          <c:idx val="4"/>
          <c:order val="4"/>
          <c:tx>
            <c:strRef>
              <c:f>'2026月度数据对比'!$T$2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'2026月度数据对比'!$T$3:$T$12</c:f>
              <c:numCache>
                <c:formatCode>0.0%</c:formatCode>
                <c:ptCount val="10"/>
                <c:pt idx="0">
                  <c:v>0.2</c:v>
                </c:pt>
                <c:pt idx="1">
                  <c:v>0.16</c:v>
                </c:pt>
                <c:pt idx="2">
                  <c:v>0.2</c:v>
                </c:pt>
                <c:pt idx="3">
                  <c:v>0.16</c:v>
                </c:pt>
                <c:pt idx="4">
                  <c:v>0.083</c:v>
                </c:pt>
                <c:pt idx="5">
                  <c:v>0.236</c:v>
                </c:pt>
                <c:pt idx="6">
                  <c:v>0.15</c:v>
                </c:pt>
                <c:pt idx="7" c:formatCode="0%">
                  <c:v>0.21</c:v>
                </c:pt>
                <c:pt idx="8">
                  <c:v>0.05</c:v>
                </c:pt>
                <c:pt idx="9">
                  <c:v>0.174</c:v>
                </c:pt>
              </c:numCache>
            </c:numRef>
          </c:val>
        </c:ser>
        <c:ser>
          <c:idx val="5"/>
          <c:order val="5"/>
          <c:tx>
            <c:strRef>
              <c:f>'2026月度数据对比'!$U$2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'2026月度数据对比'!$U$3:$U$12</c:f>
              <c:numCache>
                <c:formatCode>0%</c:formatCode>
                <c:ptCount val="10"/>
              </c:numCache>
            </c:numRef>
          </c:val>
        </c:ser>
        <c:ser>
          <c:idx val="6"/>
          <c:order val="6"/>
          <c:tx>
            <c:strRef>
              <c:f>'2026月度数据对比'!$V$2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'2026月度数据对比'!$V$3:$V$12</c:f>
              <c:numCache>
                <c:formatCode>0%</c:formatCode>
                <c:ptCount val="10"/>
              </c:numCache>
            </c:numRef>
          </c:val>
        </c:ser>
        <c:ser>
          <c:idx val="7"/>
          <c:order val="7"/>
          <c:tx>
            <c:strRef>
              <c:f>'2026月度数据对比'!$W$2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'2026月度数据对比'!$N$3:$N$12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'2026月度数据对比'!$W$3:$W$12</c:f>
              <c:numCache>
                <c:formatCode>0%</c:formatCode>
                <c:ptCount val="1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3"/>
        <c:overlap val="-89"/>
        <c:axId val="570350695"/>
        <c:axId val="852188929"/>
      </c:barChart>
      <c:catAx>
        <c:axId val="570350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52188929"/>
        <c:crosses val="autoZero"/>
        <c:auto val="1"/>
        <c:lblAlgn val="ctr"/>
        <c:lblOffset val="100"/>
        <c:noMultiLvlLbl val="0"/>
      </c:catAx>
      <c:valAx>
        <c:axId val="85218892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7035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21ed26-295e-4077-9698-31e07db6f44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080" b="1"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每月总线索对比</a:t>
            </a:r>
            <a:endParaRPr sz="108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2915192957636"/>
          <c:y val="0.186779275621244"/>
          <c:w val="0.965416961408473"/>
          <c:h val="0.730615559525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'2026月度数据对比'!$C$22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0943173779768922"/>
                  <c:y val="0.0263115153483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'2026月度数据对比'!$C$23:$C$32</c:f>
              <c:numCache>
                <c:formatCode>General</c:formatCode>
                <c:ptCount val="10"/>
                <c:pt idx="0">
                  <c:v>0</c:v>
                </c:pt>
                <c:pt idx="1">
                  <c:v>1529</c:v>
                </c:pt>
                <c:pt idx="2">
                  <c:v>495</c:v>
                </c:pt>
                <c:pt idx="3">
                  <c:v>681</c:v>
                </c:pt>
                <c:pt idx="4">
                  <c:v>302</c:v>
                </c:pt>
                <c:pt idx="5">
                  <c:v>369</c:v>
                </c:pt>
                <c:pt idx="6">
                  <c:v>765</c:v>
                </c:pt>
                <c:pt idx="7">
                  <c:v>181</c:v>
                </c:pt>
                <c:pt idx="9">
                  <c:v>351</c:v>
                </c:pt>
              </c:numCache>
            </c:numRef>
          </c:val>
        </c:ser>
        <c:ser>
          <c:idx val="1"/>
          <c:order val="1"/>
          <c:tx>
            <c:strRef>
              <c:f>'2026月度数据对比'!$D$22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'2026月度数据对比'!$D$23:$D$32</c:f>
              <c:numCache>
                <c:formatCode>General</c:formatCode>
                <c:ptCount val="10"/>
                <c:pt idx="0">
                  <c:v>0</c:v>
                </c:pt>
                <c:pt idx="1">
                  <c:v>1277</c:v>
                </c:pt>
                <c:pt idx="2">
                  <c:v>1446</c:v>
                </c:pt>
                <c:pt idx="3">
                  <c:v>902</c:v>
                </c:pt>
                <c:pt idx="4">
                  <c:v>870</c:v>
                </c:pt>
                <c:pt idx="5">
                  <c:v>345</c:v>
                </c:pt>
                <c:pt idx="6">
                  <c:v>867</c:v>
                </c:pt>
                <c:pt idx="7">
                  <c:v>394</c:v>
                </c:pt>
                <c:pt idx="8">
                  <c:v>461</c:v>
                </c:pt>
                <c:pt idx="9">
                  <c:v>471</c:v>
                </c:pt>
              </c:numCache>
            </c:numRef>
          </c:val>
        </c:ser>
        <c:ser>
          <c:idx val="2"/>
          <c:order val="2"/>
          <c:tx>
            <c:strRef>
              <c:f>'2026月度数据对比'!$E$22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'2026月度数据对比'!$E$23:$E$32</c:f>
              <c:numCache>
                <c:formatCode>General</c:formatCode>
                <c:ptCount val="10"/>
                <c:pt idx="0">
                  <c:v>0</c:v>
                </c:pt>
                <c:pt idx="1">
                  <c:v>731</c:v>
                </c:pt>
                <c:pt idx="2">
                  <c:v>1054</c:v>
                </c:pt>
                <c:pt idx="3">
                  <c:v>1112</c:v>
                </c:pt>
                <c:pt idx="4">
                  <c:v>557</c:v>
                </c:pt>
                <c:pt idx="5">
                  <c:v>384</c:v>
                </c:pt>
                <c:pt idx="6">
                  <c:v>593</c:v>
                </c:pt>
                <c:pt idx="7">
                  <c:v>316</c:v>
                </c:pt>
                <c:pt idx="8">
                  <c:v>497</c:v>
                </c:pt>
                <c:pt idx="9">
                  <c:v>324</c:v>
                </c:pt>
              </c:numCache>
            </c:numRef>
          </c:val>
        </c:ser>
        <c:ser>
          <c:idx val="3"/>
          <c:order val="3"/>
          <c:tx>
            <c:strRef>
              <c:f>'2026月度数据对比'!$F$22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'2026月度数据对比'!$F$23:$F$32</c:f>
              <c:numCache>
                <c:formatCode>General</c:formatCode>
                <c:ptCount val="10"/>
                <c:pt idx="0">
                  <c:v>0</c:v>
                </c:pt>
                <c:pt idx="1">
                  <c:v>855</c:v>
                </c:pt>
                <c:pt idx="2">
                  <c:v>1095</c:v>
                </c:pt>
                <c:pt idx="3">
                  <c:v>606</c:v>
                </c:pt>
                <c:pt idx="4">
                  <c:v>504</c:v>
                </c:pt>
                <c:pt idx="5">
                  <c:v>347</c:v>
                </c:pt>
                <c:pt idx="6">
                  <c:v>410</c:v>
                </c:pt>
                <c:pt idx="7">
                  <c:v>261</c:v>
                </c:pt>
                <c:pt idx="8">
                  <c:v>452</c:v>
                </c:pt>
                <c:pt idx="9">
                  <c:v>171</c:v>
                </c:pt>
              </c:numCache>
            </c:numRef>
          </c:val>
        </c:ser>
        <c:ser>
          <c:idx val="4"/>
          <c:order val="4"/>
          <c:tx>
            <c:strRef>
              <c:f>'2026月度数据对比'!$G$22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'2026月度数据对比'!$G$23:$G$32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'2026月度数据对比'!$H$22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'2026月度数据对比'!$H$23:$H$32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'2026月度数据对比'!$I$22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'2026月度数据对比'!$I$23:$I$32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'2026月度数据对比'!$J$22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'2026月度数据对比'!$A$23:$A$32</c:f>
              <c:strCache>
                <c:ptCount val="10"/>
                <c:pt idx="0">
                  <c:v>店名</c:v>
                </c:pt>
                <c:pt idx="1">
                  <c:v>花都广本</c:v>
                </c:pt>
                <c:pt idx="2">
                  <c:v>花都建设北零跑</c:v>
                </c:pt>
                <c:pt idx="3">
                  <c:v>白云零跑</c:v>
                </c:pt>
                <c:pt idx="4">
                  <c:v>花都传祺</c:v>
                </c:pt>
                <c:pt idx="5">
                  <c:v>清远极氪</c:v>
                </c:pt>
                <c:pt idx="6">
                  <c:v>清远广本</c:v>
                </c:pt>
                <c:pt idx="7">
                  <c:v>鑫海广本</c:v>
                </c:pt>
                <c:pt idx="8">
                  <c:v>汕头广本</c:v>
                </c:pt>
                <c:pt idx="9">
                  <c:v>江门大众</c:v>
                </c:pt>
              </c:strCache>
            </c:strRef>
          </c:cat>
          <c:val>
            <c:numRef>
              <c:f>'2026月度数据对比'!$J$23:$J$32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74"/>
        <c:axId val="484699202"/>
        <c:axId val="48511119"/>
      </c:barChart>
      <c:catAx>
        <c:axId val="484699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511119"/>
        <c:crosses val="autoZero"/>
        <c:auto val="1"/>
        <c:lblAlgn val="ctr"/>
        <c:lblOffset val="100"/>
        <c:noMultiLvlLbl val="0"/>
      </c:catAx>
      <c:valAx>
        <c:axId val="4851111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4699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6453f2-4b3e-41ee-835a-aba3d96fb6d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每月到店数据对比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'2026月度数据对比'!$O$22</c:f>
              <c:strCache>
                <c:ptCount val="1"/>
                <c:pt idx="0">
                  <c:v>每月总到店数据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'2026月度数据对比'!$O$23:$O$32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'2026月度数据对比'!$Q$22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'2026月度数据对比'!$Q$23:$Q$32</c:f>
              <c:numCache>
                <c:formatCode>General</c:formatCode>
                <c:ptCount val="10"/>
                <c:pt idx="0">
                  <c:v>0</c:v>
                </c:pt>
                <c:pt idx="1">
                  <c:v>22</c:v>
                </c:pt>
                <c:pt idx="2">
                  <c:v>13</c:v>
                </c:pt>
                <c:pt idx="3">
                  <c:v>21</c:v>
                </c:pt>
                <c:pt idx="4">
                  <c:v>8</c:v>
                </c:pt>
                <c:pt idx="5">
                  <c:v>16</c:v>
                </c:pt>
                <c:pt idx="6">
                  <c:v>29</c:v>
                </c:pt>
                <c:pt idx="7">
                  <c:v>27</c:v>
                </c:pt>
                <c:pt idx="9">
                  <c:v>9</c:v>
                </c:pt>
              </c:numCache>
            </c:numRef>
          </c:val>
        </c:ser>
        <c:ser>
          <c:idx val="2"/>
          <c:order val="2"/>
          <c:tx>
            <c:strRef>
              <c:f>'2026月度数据对比'!$R$22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'2026月度数据对比'!$R$23:$R$32</c:f>
              <c:numCache>
                <c:formatCode>General</c:formatCode>
                <c:ptCount val="10"/>
                <c:pt idx="0">
                  <c:v>0</c:v>
                </c:pt>
                <c:pt idx="1">
                  <c:v>29</c:v>
                </c:pt>
                <c:pt idx="2">
                  <c:v>26</c:v>
                </c:pt>
                <c:pt idx="3">
                  <c:v>31</c:v>
                </c:pt>
                <c:pt idx="4">
                  <c:v>27</c:v>
                </c:pt>
                <c:pt idx="5">
                  <c:v>18</c:v>
                </c:pt>
                <c:pt idx="6">
                  <c:v>50</c:v>
                </c:pt>
                <c:pt idx="7">
                  <c:v>52</c:v>
                </c:pt>
                <c:pt idx="8">
                  <c:v>41</c:v>
                </c:pt>
                <c:pt idx="9">
                  <c:v>22</c:v>
                </c:pt>
              </c:numCache>
            </c:numRef>
          </c:val>
        </c:ser>
        <c:ser>
          <c:idx val="3"/>
          <c:order val="3"/>
          <c:tx>
            <c:strRef>
              <c:f>'2026月度数据对比'!$S$22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'2026月度数据对比'!$S$23:$S$32</c:f>
              <c:numCache>
                <c:formatCode>General</c:formatCode>
                <c:ptCount val="10"/>
                <c:pt idx="0">
                  <c:v>0</c:v>
                </c:pt>
                <c:pt idx="1">
                  <c:v>22</c:v>
                </c:pt>
                <c:pt idx="2">
                  <c:v>51</c:v>
                </c:pt>
                <c:pt idx="3">
                  <c:v>60</c:v>
                </c:pt>
                <c:pt idx="4">
                  <c:v>12</c:v>
                </c:pt>
                <c:pt idx="5">
                  <c:v>25</c:v>
                </c:pt>
                <c:pt idx="6">
                  <c:v>28</c:v>
                </c:pt>
                <c:pt idx="7">
                  <c:v>35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</c:ser>
        <c:ser>
          <c:idx val="4"/>
          <c:order val="4"/>
          <c:tx>
            <c:strRef>
              <c:f>'2026月度数据对比'!$T$22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'2026月度数据对比'!$T$23:$T$32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31</c:v>
                </c:pt>
                <c:pt idx="3">
                  <c:v>28</c:v>
                </c:pt>
                <c:pt idx="4">
                  <c:v>24</c:v>
                </c:pt>
                <c:pt idx="5">
                  <c:v>27</c:v>
                </c:pt>
                <c:pt idx="6">
                  <c:v>32</c:v>
                </c:pt>
                <c:pt idx="7">
                  <c:v>41</c:v>
                </c:pt>
                <c:pt idx="8">
                  <c:v>25</c:v>
                </c:pt>
                <c:pt idx="9">
                  <c:v>12</c:v>
                </c:pt>
              </c:numCache>
            </c:numRef>
          </c:val>
        </c:ser>
        <c:ser>
          <c:idx val="5"/>
          <c:order val="5"/>
          <c:tx>
            <c:strRef>
              <c:f>'2026月度数据对比'!$U$22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'2026月度数据对比'!$U$23:$U$32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'2026月度数据对比'!$V$22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'2026月度数据对比'!$V$23:$V$32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'2026月度数据对比'!$W$22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'2026月度数据对比'!$N$23:$N$32</c:f>
              <c:numCache>
                <c:formatCode>General</c:formatCode>
                <c:ptCount val="10"/>
              </c:numCache>
            </c:numRef>
          </c:cat>
          <c:val>
            <c:numRef>
              <c:f>'2026月度数据对比'!$W$23:$W$32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81"/>
        <c:axId val="624543313"/>
        <c:axId val="129019997"/>
      </c:barChart>
      <c:catAx>
        <c:axId val="6245433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29019997"/>
        <c:crosses val="autoZero"/>
        <c:auto val="1"/>
        <c:lblAlgn val="ctr"/>
        <c:lblOffset val="100"/>
        <c:noMultiLvlLbl val="0"/>
      </c:catAx>
      <c:valAx>
        <c:axId val="12901999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24543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bd4c30-ff84-4ce0-b3b5-eef01db6b7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每月付费流线索数对比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'2026月度数据对比'!$C$35</c:f>
              <c:strCache>
                <c:ptCount val="1"/>
                <c:pt idx="0">
                  <c:v>282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'2026月度数据对比'!$C$43:$C$52</c:f>
              <c:numCache>
                <c:formatCode>General</c:formatCode>
                <c:ptCount val="10"/>
                <c:pt idx="1">
                  <c:v>0</c:v>
                </c:pt>
                <c:pt idx="2">
                  <c:v>1842</c:v>
                </c:pt>
                <c:pt idx="3">
                  <c:v>451</c:v>
                </c:pt>
                <c:pt idx="4">
                  <c:v>608</c:v>
                </c:pt>
                <c:pt idx="5">
                  <c:v>101</c:v>
                </c:pt>
                <c:pt idx="6">
                  <c:v>353</c:v>
                </c:pt>
                <c:pt idx="7">
                  <c:v>0</c:v>
                </c:pt>
                <c:pt idx="8">
                  <c:v>136</c:v>
                </c:pt>
              </c:numCache>
            </c:numRef>
          </c:val>
        </c:ser>
        <c:ser>
          <c:idx val="1"/>
          <c:order val="1"/>
          <c:tx>
            <c:strRef>
              <c:f>'2026月度数据对比'!$D$35</c:f>
              <c:strCache>
                <c:ptCount val="1"/>
                <c:pt idx="0">
                  <c:v>338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'2026月度数据对比'!$D$43:$D$52</c:f>
              <c:numCache>
                <c:formatCode>General</c:formatCode>
                <c:ptCount val="10"/>
                <c:pt idx="1">
                  <c:v>0</c:v>
                </c:pt>
                <c:pt idx="2">
                  <c:v>991</c:v>
                </c:pt>
                <c:pt idx="3">
                  <c:v>1341</c:v>
                </c:pt>
                <c:pt idx="4">
                  <c:v>979</c:v>
                </c:pt>
                <c:pt idx="5">
                  <c:v>623</c:v>
                </c:pt>
                <c:pt idx="6">
                  <c:v>321</c:v>
                </c:pt>
                <c:pt idx="7">
                  <c:v>270</c:v>
                </c:pt>
                <c:pt idx="8">
                  <c:v>313</c:v>
                </c:pt>
                <c:pt idx="9">
                  <c:v>188</c:v>
                </c:pt>
              </c:numCache>
            </c:numRef>
          </c:val>
        </c:ser>
        <c:ser>
          <c:idx val="2"/>
          <c:order val="2"/>
          <c:tx>
            <c:strRef>
              <c:f>'2026月度数据对比'!$E$35</c:f>
              <c:strCache>
                <c:ptCount val="1"/>
                <c:pt idx="0">
                  <c:v>365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'2026月度数据对比'!$E$43:$E$52</c:f>
              <c:numCache>
                <c:formatCode>General</c:formatCode>
                <c:ptCount val="10"/>
                <c:pt idx="1">
                  <c:v>0</c:v>
                </c:pt>
                <c:pt idx="2">
                  <c:v>474</c:v>
                </c:pt>
                <c:pt idx="3">
                  <c:v>1751</c:v>
                </c:pt>
                <c:pt idx="4">
                  <c:v>1087</c:v>
                </c:pt>
                <c:pt idx="5">
                  <c:v>456</c:v>
                </c:pt>
                <c:pt idx="6">
                  <c:v>364</c:v>
                </c:pt>
                <c:pt idx="7">
                  <c:v>45</c:v>
                </c:pt>
                <c:pt idx="8">
                  <c:v>258</c:v>
                </c:pt>
                <c:pt idx="9">
                  <c:v>379</c:v>
                </c:pt>
              </c:numCache>
            </c:numRef>
          </c:val>
        </c:ser>
        <c:ser>
          <c:idx val="3"/>
          <c:order val="3"/>
          <c:tx>
            <c:strRef>
              <c:f>'2026月度数据对比'!$F$35</c:f>
              <c:strCache>
                <c:ptCount val="1"/>
                <c:pt idx="0">
                  <c:v>408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'2026月度数据对比'!$F$43:$F$52</c:f>
              <c:numCache>
                <c:formatCode>General</c:formatCode>
                <c:ptCount val="10"/>
                <c:pt idx="1">
                  <c:v>0</c:v>
                </c:pt>
                <c:pt idx="2">
                  <c:v>590</c:v>
                </c:pt>
                <c:pt idx="3">
                  <c:v>1070</c:v>
                </c:pt>
                <c:pt idx="4">
                  <c:v>560</c:v>
                </c:pt>
                <c:pt idx="5">
                  <c:v>418</c:v>
                </c:pt>
                <c:pt idx="6">
                  <c:v>331</c:v>
                </c:pt>
                <c:pt idx="7">
                  <c:v>293</c:v>
                </c:pt>
                <c:pt idx="8">
                  <c:v>168</c:v>
                </c:pt>
                <c:pt idx="9">
                  <c:v>448</c:v>
                </c:pt>
              </c:numCache>
            </c:numRef>
          </c:val>
        </c:ser>
        <c:ser>
          <c:idx val="4"/>
          <c:order val="4"/>
          <c:tx>
            <c:strRef>
              <c:f>'2026月度数据对比'!$G$35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'2026月度数据对比'!$G$43:$G$52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'2026月度数据对比'!$H$35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'2026月度数据对比'!$H$43:$H$52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</c:ser>
        <c:ser>
          <c:idx val="6"/>
          <c:order val="6"/>
          <c:tx>
            <c:strRef>
              <c:f>'2026月度数据对比'!$I$35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'2026月度数据对比'!$I$43:$I$52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</c:ser>
        <c:ser>
          <c:idx val="7"/>
          <c:order val="7"/>
          <c:tx>
            <c:strRef>
              <c:f>'2026月度数据对比'!$J$35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'2026月度数据对比'!$A$43:$A$52</c:f>
              <c:strCache>
                <c:ptCount val="10"/>
                <c:pt idx="0">
                  <c:v>付费流线索数</c:v>
                </c:pt>
                <c:pt idx="1">
                  <c:v>店名</c:v>
                </c:pt>
                <c:pt idx="2">
                  <c:v>花都广本</c:v>
                </c:pt>
                <c:pt idx="3">
                  <c:v>花都建设北零跑</c:v>
                </c:pt>
                <c:pt idx="4">
                  <c:v>白云零跑</c:v>
                </c:pt>
                <c:pt idx="5">
                  <c:v>花都传祺</c:v>
                </c:pt>
                <c:pt idx="6">
                  <c:v>清远极氪</c:v>
                </c:pt>
                <c:pt idx="7">
                  <c:v>清远广本</c:v>
                </c:pt>
                <c:pt idx="8">
                  <c:v>鑫海广本</c:v>
                </c:pt>
                <c:pt idx="9">
                  <c:v>汕头广本</c:v>
                </c:pt>
              </c:strCache>
            </c:strRef>
          </c:cat>
          <c:val>
            <c:numRef>
              <c:f>'2026月度数据对比'!$J$43:$J$52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每月总到店达成率比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'2026月度数据对比'!#REF!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'2026月度数据对比'!#REF!</c:f>
              <c:numCache>
                <c:ptCount val="0"/>
              </c:numCache>
            </c:numRef>
          </c:cat>
          <c:val>
            <c:numRef>
              <c:f>'2026月度数据对比'!#REF!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'2026月度数据对比'!#REF!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'2026月度数据对比'!#REF!</c:f>
              <c:numCache>
                <c:ptCount val="0"/>
              </c:numCache>
            </c:numRef>
          </c:cat>
          <c:val>
            <c:numRef>
              <c:f>'2026月度数据对比'!#REF!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'2026月度数据对比'!#REF!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'2026月度数据对比'!#REF!</c:f>
              <c:numCache>
                <c:ptCount val="0"/>
              </c:numCache>
            </c:numRef>
          </c:cat>
          <c:val>
            <c:numRef>
              <c:f>'2026月度数据对比'!#REF!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'2026月度数据对比'!#REF!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每月订单对比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[2]月度数据对比!$B$1:$B$2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[2]月度数据对比!$B$3:$B$14</c:f>
              <c:numCache>
                <c:formatCode>General</c:formatCode>
                <c:ptCount val="12"/>
                <c:pt idx="0">
                  <c:v>52</c:v>
                </c:pt>
                <c:pt idx="1">
                  <c:v>20</c:v>
                </c:pt>
                <c:pt idx="2">
                  <c:v>4</c:v>
                </c:pt>
                <c:pt idx="3">
                  <c:v>17</c:v>
                </c:pt>
                <c:pt idx="4">
                  <c:v>0</c:v>
                </c:pt>
                <c:pt idx="5">
                  <c:v>11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</c:ser>
        <c:ser>
          <c:idx val="1"/>
          <c:order val="1"/>
          <c:tx>
            <c:strRef>
              <c:f>[2]月度数据对比!$C$1:$C$2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[2]月度数据对比!$C$3:$C$14</c:f>
              <c:numCache>
                <c:formatCode>General</c:formatCode>
                <c:ptCount val="12"/>
                <c:pt idx="0">
                  <c:v>24</c:v>
                </c:pt>
                <c:pt idx="1">
                  <c:v>9</c:v>
                </c:pt>
                <c:pt idx="2">
                  <c:v>3</c:v>
                </c:pt>
                <c:pt idx="3">
                  <c:v>13</c:v>
                </c:pt>
                <c:pt idx="4">
                  <c:v>0</c:v>
                </c:pt>
                <c:pt idx="5">
                  <c:v>5</c:v>
                </c:pt>
                <c:pt idx="6">
                  <c:v>13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</c:numCache>
            </c:numRef>
          </c:val>
        </c:ser>
        <c:ser>
          <c:idx val="2"/>
          <c:order val="2"/>
          <c:tx>
            <c:strRef>
              <c:f>[2]月度数据对比!$D$1:$D$2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[2]月度数据对比!$D$3:$D$14</c:f>
              <c:numCache>
                <c:formatCode>General</c:formatCode>
                <c:ptCount val="12"/>
                <c:pt idx="0">
                  <c:v>55</c:v>
                </c:pt>
                <c:pt idx="1">
                  <c:v>18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12</c:v>
                </c:pt>
              </c:numCache>
            </c:numRef>
          </c:val>
        </c:ser>
        <c:ser>
          <c:idx val="3"/>
          <c:order val="3"/>
          <c:tx>
            <c:strRef>
              <c:f>[2]月度数据对比!$E$1:$E$2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[2]月度数据对比!$E$3:$E$14</c:f>
              <c:numCache>
                <c:formatCode>General</c:formatCode>
                <c:ptCount val="12"/>
                <c:pt idx="0">
                  <c:v>37</c:v>
                </c:pt>
                <c:pt idx="1">
                  <c:v>20</c:v>
                </c:pt>
                <c:pt idx="2">
                  <c:v>16</c:v>
                </c:pt>
                <c:pt idx="3">
                  <c:v>12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13</c:v>
                </c:pt>
              </c:numCache>
            </c:numRef>
          </c:val>
        </c:ser>
        <c:ser>
          <c:idx val="4"/>
          <c:order val="4"/>
          <c:tx>
            <c:strRef>
              <c:f>[2]月度数据对比!$F$1:$F$2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[2]月度数据对比!$F$3:$F$14</c:f>
              <c:numCache>
                <c:formatCode>General</c:formatCode>
                <c:ptCount val="12"/>
                <c:pt idx="0">
                  <c:v>43</c:v>
                </c:pt>
                <c:pt idx="1">
                  <c:v>20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10</c:v>
                </c:pt>
                <c:pt idx="6">
                  <c:v>19</c:v>
                </c:pt>
                <c:pt idx="7">
                  <c:v>9</c:v>
                </c:pt>
                <c:pt idx="8">
                  <c:v>5</c:v>
                </c:pt>
                <c:pt idx="9">
                  <c:v>15</c:v>
                </c:pt>
                <c:pt idx="10">
                  <c:v>20</c:v>
                </c:pt>
                <c:pt idx="11">
                  <c:v>1</c:v>
                </c:pt>
              </c:numCache>
            </c:numRef>
          </c:val>
        </c:ser>
        <c:ser>
          <c:idx val="5"/>
          <c:order val="5"/>
          <c:tx>
            <c:strRef>
              <c:f>[2]月度数据对比!$G$1:$G$2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[2]月度数据对比!$G$3:$G$14</c:f>
              <c:numCache>
                <c:formatCode>General</c:formatCode>
                <c:ptCount val="12"/>
                <c:pt idx="0">
                  <c:v>28</c:v>
                </c:pt>
                <c:pt idx="1">
                  <c:v>13</c:v>
                </c:pt>
                <c:pt idx="2">
                  <c:v>12</c:v>
                </c:pt>
                <c:pt idx="3">
                  <c:v>9</c:v>
                </c:pt>
                <c:pt idx="4">
                  <c:v>6</c:v>
                </c:pt>
                <c:pt idx="5">
                  <c:v>22</c:v>
                </c:pt>
                <c:pt idx="6">
                  <c:v>21</c:v>
                </c:pt>
                <c:pt idx="7">
                  <c:v>14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</c:ser>
        <c:ser>
          <c:idx val="6"/>
          <c:order val="6"/>
          <c:tx>
            <c:strRef>
              <c:f>[2]月度数据对比!$H$1:$H$2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[2]月度数据对比!$H$3:$H$14</c:f>
              <c:numCache>
                <c:formatCode>General</c:formatCode>
                <c:ptCount val="12"/>
                <c:pt idx="0">
                  <c:v>30</c:v>
                </c:pt>
                <c:pt idx="1">
                  <c:v>19</c:v>
                </c:pt>
                <c:pt idx="2">
                  <c:v>20</c:v>
                </c:pt>
                <c:pt idx="3">
                  <c:v>14</c:v>
                </c:pt>
                <c:pt idx="4">
                  <c:v>3</c:v>
                </c:pt>
                <c:pt idx="5">
                  <c:v>12</c:v>
                </c:pt>
                <c:pt idx="6">
                  <c:v>23</c:v>
                </c:pt>
                <c:pt idx="7">
                  <c:v>12</c:v>
                </c:pt>
                <c:pt idx="8">
                  <c:v>7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</c:numCache>
            </c:numRef>
          </c:val>
        </c:ser>
        <c:ser>
          <c:idx val="7"/>
          <c:order val="7"/>
          <c:tx>
            <c:strRef>
              <c:f>[2]月度数据对比!$I$1:$I$2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[2]月度数据对比!$I$3:$I$14</c:f>
              <c:numCache>
                <c:formatCode>General</c:formatCode>
                <c:ptCount val="12"/>
                <c:pt idx="0">
                  <c:v>42</c:v>
                </c:pt>
                <c:pt idx="1">
                  <c:v>16</c:v>
                </c:pt>
                <c:pt idx="2">
                  <c:v>24</c:v>
                </c:pt>
                <c:pt idx="3">
                  <c:v>8</c:v>
                </c:pt>
                <c:pt idx="4">
                  <c:v>1</c:v>
                </c:pt>
                <c:pt idx="5">
                  <c:v>15</c:v>
                </c:pt>
                <c:pt idx="6">
                  <c:v>28</c:v>
                </c:pt>
                <c:pt idx="7">
                  <c:v>10</c:v>
                </c:pt>
                <c:pt idx="8">
                  <c:v>6</c:v>
                </c:pt>
                <c:pt idx="9">
                  <c:v>15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62"/>
        <c:axId val="362890113"/>
        <c:axId val="914149502"/>
      </c:barChart>
      <c:catAx>
        <c:axId val="3628901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14149502"/>
        <c:crosses val="autoZero"/>
        <c:auto val="1"/>
        <c:lblAlgn val="ctr"/>
        <c:lblOffset val="100"/>
        <c:noMultiLvlLbl val="0"/>
      </c:catAx>
      <c:valAx>
        <c:axId val="9141495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62890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6637b-dd23-4142-848e-cab6640afd7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每月新媒体订单占比</a:t>
            </a:r>
            <a:endParaRPr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8974845752254"/>
          <c:y val="0.0133774834437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[2]月度数据对比!$N$2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[2]月度数据对比!$N$3:$N$14</c:f>
              <c:numCache>
                <c:formatCode>General</c:formatCode>
                <c:ptCount val="12"/>
                <c:pt idx="0">
                  <c:v>0.25</c:v>
                </c:pt>
                <c:pt idx="1">
                  <c:v>0.162</c:v>
                </c:pt>
                <c:pt idx="2">
                  <c:v>0.07</c:v>
                </c:pt>
                <c:pt idx="3">
                  <c:v>0.153</c:v>
                </c:pt>
                <c:pt idx="4">
                  <c:v>0</c:v>
                </c:pt>
                <c:pt idx="5">
                  <c:v>0.133</c:v>
                </c:pt>
                <c:pt idx="6">
                  <c:v>0.2</c:v>
                </c:pt>
                <c:pt idx="7">
                  <c:v>0.07</c:v>
                </c:pt>
                <c:pt idx="8">
                  <c:v>0.26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[2]月度数据对比!$O$2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260334490375513"/>
                  <c:y val="-0.042066027689030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[2]月度数据对比!$O$3:$O$14</c:f>
              <c:numCache>
                <c:formatCode>General</c:formatCode>
                <c:ptCount val="12"/>
                <c:pt idx="0">
                  <c:v>0.205</c:v>
                </c:pt>
                <c:pt idx="1">
                  <c:v>0.128</c:v>
                </c:pt>
                <c:pt idx="3">
                  <c:v>0.135</c:v>
                </c:pt>
                <c:pt idx="5">
                  <c:v>0.033</c:v>
                </c:pt>
                <c:pt idx="6">
                  <c:v>0.23</c:v>
                </c:pt>
                <c:pt idx="7">
                  <c:v>0.15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</c:ser>
        <c:ser>
          <c:idx val="2"/>
          <c:order val="2"/>
          <c:tx>
            <c:strRef>
              <c:f>[2]月度数据对比!$P$2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-0.00188427416189056"/>
                  <c:y val="0.01728004221079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[2]月度数据对比!$P$3:$P$14</c:f>
              <c:numCache>
                <c:formatCode>General</c:formatCode>
                <c:ptCount val="12"/>
                <c:pt idx="0">
                  <c:v>0.21</c:v>
                </c:pt>
                <c:pt idx="1">
                  <c:v>0.25</c:v>
                </c:pt>
                <c:pt idx="2">
                  <c:v>0.2</c:v>
                </c:pt>
                <c:pt idx="3">
                  <c:v>0.143</c:v>
                </c:pt>
                <c:pt idx="4">
                  <c:v>0.18</c:v>
                </c:pt>
                <c:pt idx="5">
                  <c:v>0.175</c:v>
                </c:pt>
                <c:pt idx="6">
                  <c:v>0.1</c:v>
                </c:pt>
                <c:pt idx="7">
                  <c:v>0.09</c:v>
                </c:pt>
                <c:pt idx="8">
                  <c:v>0.117</c:v>
                </c:pt>
                <c:pt idx="9">
                  <c:v>0.05</c:v>
                </c:pt>
                <c:pt idx="10">
                  <c:v>0.2</c:v>
                </c:pt>
              </c:numCache>
            </c:numRef>
          </c:val>
        </c:ser>
        <c:ser>
          <c:idx val="3"/>
          <c:order val="3"/>
          <c:tx>
            <c:strRef>
              <c:f>[2]月度数据对比!$Q$2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0.00840072230509539"/>
                  <c:y val="-0.044057512201556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[2]月度数据对比!$Q$3:$Q$14</c:f>
              <c:numCache>
                <c:formatCode>General</c:formatCode>
                <c:ptCount val="12"/>
                <c:pt idx="0">
                  <c:v>0.26</c:v>
                </c:pt>
                <c:pt idx="1">
                  <c:v>0.169</c:v>
                </c:pt>
                <c:pt idx="2">
                  <c:v>0.333</c:v>
                </c:pt>
                <c:pt idx="3">
                  <c:v>0.286</c:v>
                </c:pt>
                <c:pt idx="4">
                  <c:v>0.333</c:v>
                </c:pt>
                <c:pt idx="5">
                  <c:v>0.154</c:v>
                </c:pt>
                <c:pt idx="6">
                  <c:v>0.185</c:v>
                </c:pt>
                <c:pt idx="7">
                  <c:v>0.069</c:v>
                </c:pt>
                <c:pt idx="8">
                  <c:v>0.138</c:v>
                </c:pt>
                <c:pt idx="9">
                  <c:v>0.06</c:v>
                </c:pt>
                <c:pt idx="10">
                  <c:v>0.2</c:v>
                </c:pt>
              </c:numCache>
            </c:numRef>
          </c:val>
        </c:ser>
        <c:ser>
          <c:idx val="4"/>
          <c:order val="4"/>
          <c:tx>
            <c:strRef>
              <c:f>[2]月度数据对比!$R$2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[2]月度数据对比!$R$3:$R$14</c:f>
              <c:numCache>
                <c:formatCode>General</c:formatCode>
                <c:ptCount val="12"/>
                <c:pt idx="0">
                  <c:v>0.29</c:v>
                </c:pt>
                <c:pt idx="1">
                  <c:v>0.168</c:v>
                </c:pt>
                <c:pt idx="2">
                  <c:v>0.05</c:v>
                </c:pt>
                <c:pt idx="3">
                  <c:v>0.08</c:v>
                </c:pt>
                <c:pt idx="4">
                  <c:v>0.23</c:v>
                </c:pt>
                <c:pt idx="5">
                  <c:v>0.09</c:v>
                </c:pt>
                <c:pt idx="6">
                  <c:v>0.2</c:v>
                </c:pt>
                <c:pt idx="7">
                  <c:v>0.072</c:v>
                </c:pt>
                <c:pt idx="8">
                  <c:v>0.084</c:v>
                </c:pt>
                <c:pt idx="9">
                  <c:v>0.06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[2]月度数据对比!$S$2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[2]月度数据对比!$S$3:$S$14</c:f>
              <c:numCache>
                <c:formatCode>General</c:formatCode>
                <c:ptCount val="12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0.2</c:v>
                </c:pt>
                <c:pt idx="5">
                  <c:v>0.24</c:v>
                </c:pt>
                <c:pt idx="6">
                  <c:v>0.2</c:v>
                </c:pt>
                <c:pt idx="7">
                  <c:v>0.1</c:v>
                </c:pt>
                <c:pt idx="8">
                  <c:v>0.15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</c:numCache>
            </c:numRef>
          </c:val>
        </c:ser>
        <c:ser>
          <c:idx val="6"/>
          <c:order val="6"/>
          <c:tx>
            <c:strRef>
              <c:f>[2]月度数据对比!$T$2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[2]月度数据对比!$T$3:$T$14</c:f>
              <c:numCache>
                <c:formatCode>General</c:formatCode>
                <c:ptCount val="12"/>
                <c:pt idx="0">
                  <c:v>0.24</c:v>
                </c:pt>
                <c:pt idx="1">
                  <c:v>0.194</c:v>
                </c:pt>
                <c:pt idx="2">
                  <c:v>0.171</c:v>
                </c:pt>
                <c:pt idx="3">
                  <c:v>0.009</c:v>
                </c:pt>
                <c:pt idx="4">
                  <c:v>0</c:v>
                </c:pt>
                <c:pt idx="6">
                  <c:v>0.185</c:v>
                </c:pt>
                <c:pt idx="7">
                  <c:v>0.1</c:v>
                </c:pt>
                <c:pt idx="8">
                  <c:v>0.1</c:v>
                </c:pt>
                <c:pt idx="9">
                  <c:v>0.002</c:v>
                </c:pt>
                <c:pt idx="10">
                  <c:v>0.15</c:v>
                </c:pt>
                <c:pt idx="11">
                  <c:v>0.15</c:v>
                </c:pt>
              </c:numCache>
            </c:numRef>
          </c:val>
        </c:ser>
        <c:ser>
          <c:idx val="7"/>
          <c:order val="7"/>
          <c:tx>
            <c:strRef>
              <c:f>[2]月度数据对比!$U$2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[2]月度数据对比!$U$3:$U$14</c:f>
              <c:numCache>
                <c:formatCode>General</c:formatCode>
                <c:ptCount val="12"/>
                <c:pt idx="0">
                  <c:v>0.34</c:v>
                </c:pt>
                <c:pt idx="1">
                  <c:v>0.168</c:v>
                </c:pt>
                <c:pt idx="2">
                  <c:v>0.292</c:v>
                </c:pt>
                <c:pt idx="3">
                  <c:v>0.11</c:v>
                </c:pt>
                <c:pt idx="4">
                  <c:v>0</c:v>
                </c:pt>
                <c:pt idx="5">
                  <c:v>0.21</c:v>
                </c:pt>
                <c:pt idx="6">
                  <c:v>0.22</c:v>
                </c:pt>
                <c:pt idx="7">
                  <c:v>0.1</c:v>
                </c:pt>
                <c:pt idx="8">
                  <c:v>0.1</c:v>
                </c:pt>
                <c:pt idx="9">
                  <c:v>0.08</c:v>
                </c:pt>
                <c:pt idx="10">
                  <c:v>0.15</c:v>
                </c:pt>
                <c:pt idx="11">
                  <c:v>0.16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3"/>
        <c:overlap val="-89"/>
        <c:axId val="570350695"/>
        <c:axId val="852188929"/>
      </c:barChart>
      <c:catAx>
        <c:axId val="570350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52188929"/>
        <c:crosses val="autoZero"/>
        <c:auto val="1"/>
        <c:lblAlgn val="ctr"/>
        <c:lblOffset val="100"/>
        <c:noMultiLvlLbl val="0"/>
      </c:catAx>
      <c:valAx>
        <c:axId val="85218892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7035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21ed26-295e-4077-9698-31e07db6f44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080" b="1"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每月总线索对比</a:t>
            </a:r>
            <a:endParaRPr sz="108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2915192957636"/>
          <c:y val="0.186779275621244"/>
          <c:w val="0.965416961408473"/>
          <c:h val="0.730615559525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[2]月度数据对比!$B$20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0943173779768922"/>
                  <c:y val="0.0263115153483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[2]月度数据对比!$B$21:$B$32</c:f>
              <c:numCache>
                <c:formatCode>General</c:formatCode>
                <c:ptCount val="12"/>
                <c:pt idx="0">
                  <c:v>2549</c:v>
                </c:pt>
                <c:pt idx="1">
                  <c:v>1260</c:v>
                </c:pt>
                <c:pt idx="2">
                  <c:v>369</c:v>
                </c:pt>
                <c:pt idx="3">
                  <c:v>782</c:v>
                </c:pt>
                <c:pt idx="4">
                  <c:v>15</c:v>
                </c:pt>
                <c:pt idx="5">
                  <c:v>853</c:v>
                </c:pt>
                <c:pt idx="6">
                  <c:v>396</c:v>
                </c:pt>
                <c:pt idx="7">
                  <c:v>364</c:v>
                </c:pt>
                <c:pt idx="8">
                  <c:v>417</c:v>
                </c:pt>
                <c:pt idx="9">
                  <c:v>1123</c:v>
                </c:pt>
              </c:numCache>
            </c:numRef>
          </c:val>
        </c:ser>
        <c:ser>
          <c:idx val="1"/>
          <c:order val="1"/>
          <c:tx>
            <c:strRef>
              <c:f>[2]月度数据对比!$C$20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[2]月度数据对比!$C$21:$C$32</c:f>
              <c:numCache>
                <c:formatCode>General</c:formatCode>
                <c:ptCount val="12"/>
                <c:pt idx="0">
                  <c:v>1396</c:v>
                </c:pt>
                <c:pt idx="1">
                  <c:v>635</c:v>
                </c:pt>
                <c:pt idx="2">
                  <c:v>190</c:v>
                </c:pt>
                <c:pt idx="3">
                  <c:v>632</c:v>
                </c:pt>
                <c:pt idx="4">
                  <c:v>32</c:v>
                </c:pt>
                <c:pt idx="5">
                  <c:v>605</c:v>
                </c:pt>
                <c:pt idx="6">
                  <c:v>527</c:v>
                </c:pt>
                <c:pt idx="7">
                  <c:v>198</c:v>
                </c:pt>
                <c:pt idx="8">
                  <c:v>268</c:v>
                </c:pt>
                <c:pt idx="9">
                  <c:v>451</c:v>
                </c:pt>
              </c:numCache>
            </c:numRef>
          </c:val>
        </c:ser>
        <c:ser>
          <c:idx val="2"/>
          <c:order val="2"/>
          <c:tx>
            <c:strRef>
              <c:f>[2]月度数据对比!$D$20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[2]月度数据对比!$D$21:$D$32</c:f>
              <c:numCache>
                <c:formatCode>General</c:formatCode>
                <c:ptCount val="12"/>
                <c:pt idx="0">
                  <c:v>1992</c:v>
                </c:pt>
                <c:pt idx="1">
                  <c:v>754</c:v>
                </c:pt>
                <c:pt idx="2">
                  <c:v>608</c:v>
                </c:pt>
                <c:pt idx="3">
                  <c:v>635</c:v>
                </c:pt>
                <c:pt idx="4">
                  <c:v>429</c:v>
                </c:pt>
                <c:pt idx="5">
                  <c:v>520</c:v>
                </c:pt>
                <c:pt idx="6">
                  <c:v>615</c:v>
                </c:pt>
                <c:pt idx="7">
                  <c:v>247</c:v>
                </c:pt>
                <c:pt idx="8">
                  <c:v>333</c:v>
                </c:pt>
                <c:pt idx="9">
                  <c:v>170</c:v>
                </c:pt>
                <c:pt idx="10">
                  <c:v>655</c:v>
                </c:pt>
              </c:numCache>
            </c:numRef>
          </c:val>
        </c:ser>
        <c:ser>
          <c:idx val="3"/>
          <c:order val="3"/>
          <c:tx>
            <c:strRef>
              <c:f>[2]月度数据对比!$E$20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[2]月度数据对比!$E$21:$E$32</c:f>
              <c:numCache>
                <c:formatCode>General</c:formatCode>
                <c:ptCount val="12"/>
                <c:pt idx="0">
                  <c:v>775</c:v>
                </c:pt>
                <c:pt idx="1">
                  <c:v>680</c:v>
                </c:pt>
                <c:pt idx="2">
                  <c:v>548</c:v>
                </c:pt>
                <c:pt idx="3">
                  <c:v>570</c:v>
                </c:pt>
                <c:pt idx="4">
                  <c:v>147</c:v>
                </c:pt>
                <c:pt idx="5">
                  <c:v>432</c:v>
                </c:pt>
                <c:pt idx="6">
                  <c:v>721</c:v>
                </c:pt>
                <c:pt idx="7">
                  <c:v>305</c:v>
                </c:pt>
                <c:pt idx="8">
                  <c:v>419</c:v>
                </c:pt>
                <c:pt idx="9">
                  <c:v>104</c:v>
                </c:pt>
                <c:pt idx="10">
                  <c:v>500</c:v>
                </c:pt>
              </c:numCache>
            </c:numRef>
          </c:val>
        </c:ser>
        <c:ser>
          <c:idx val="4"/>
          <c:order val="4"/>
          <c:tx>
            <c:strRef>
              <c:f>[2]月度数据对比!$F$20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[2]月度数据对比!$F$21:$F$32</c:f>
              <c:numCache>
                <c:formatCode>General</c:formatCode>
                <c:ptCount val="12"/>
                <c:pt idx="0">
                  <c:v>1429</c:v>
                </c:pt>
                <c:pt idx="1">
                  <c:v>744</c:v>
                </c:pt>
                <c:pt idx="2">
                  <c:v>590</c:v>
                </c:pt>
                <c:pt idx="3">
                  <c:v>816</c:v>
                </c:pt>
                <c:pt idx="4">
                  <c:v>369</c:v>
                </c:pt>
                <c:pt idx="5">
                  <c:v>401</c:v>
                </c:pt>
                <c:pt idx="6">
                  <c:v>655</c:v>
                </c:pt>
                <c:pt idx="7">
                  <c:v>425</c:v>
                </c:pt>
                <c:pt idx="8">
                  <c:v>246</c:v>
                </c:pt>
                <c:pt idx="9">
                  <c:v>161</c:v>
                </c:pt>
                <c:pt idx="10">
                  <c:v>533</c:v>
                </c:pt>
                <c:pt idx="11">
                  <c:v>610</c:v>
                </c:pt>
              </c:numCache>
            </c:numRef>
          </c:val>
        </c:ser>
        <c:ser>
          <c:idx val="5"/>
          <c:order val="5"/>
          <c:tx>
            <c:strRef>
              <c:f>[2]月度数据对比!$G$20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[2]月度数据对比!$G$21:$G$32</c:f>
              <c:numCache>
                <c:formatCode>General</c:formatCode>
                <c:ptCount val="12"/>
                <c:pt idx="0">
                  <c:v>1561</c:v>
                </c:pt>
                <c:pt idx="1">
                  <c:v>930</c:v>
                </c:pt>
                <c:pt idx="2">
                  <c:v>565</c:v>
                </c:pt>
                <c:pt idx="3">
                  <c:v>641</c:v>
                </c:pt>
                <c:pt idx="4">
                  <c:v>536</c:v>
                </c:pt>
                <c:pt idx="5">
                  <c:v>514</c:v>
                </c:pt>
                <c:pt idx="6">
                  <c:v>653</c:v>
                </c:pt>
                <c:pt idx="7">
                  <c:v>499</c:v>
                </c:pt>
                <c:pt idx="8">
                  <c:v>250</c:v>
                </c:pt>
                <c:pt idx="9">
                  <c:v>162</c:v>
                </c:pt>
                <c:pt idx="10">
                  <c:v>338</c:v>
                </c:pt>
                <c:pt idx="11">
                  <c:v>1197</c:v>
                </c:pt>
              </c:numCache>
            </c:numRef>
          </c:val>
        </c:ser>
        <c:ser>
          <c:idx val="6"/>
          <c:order val="6"/>
          <c:tx>
            <c:strRef>
              <c:f>[2]月度数据对比!$H$20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[2]月度数据对比!$H$21:$H$32</c:f>
              <c:numCache>
                <c:formatCode>General</c:formatCode>
                <c:ptCount val="12"/>
                <c:pt idx="0">
                  <c:v>1537</c:v>
                </c:pt>
                <c:pt idx="1">
                  <c:v>1040</c:v>
                </c:pt>
                <c:pt idx="2">
                  <c:v>654</c:v>
                </c:pt>
                <c:pt idx="3">
                  <c:v>830</c:v>
                </c:pt>
                <c:pt idx="4">
                  <c:v>462</c:v>
                </c:pt>
                <c:pt idx="5">
                  <c:v>525</c:v>
                </c:pt>
                <c:pt idx="6">
                  <c:v>870</c:v>
                </c:pt>
                <c:pt idx="7">
                  <c:v>682</c:v>
                </c:pt>
                <c:pt idx="8">
                  <c:v>387</c:v>
                </c:pt>
                <c:pt idx="9">
                  <c:v>166</c:v>
                </c:pt>
                <c:pt idx="10">
                  <c:v>523</c:v>
                </c:pt>
                <c:pt idx="11">
                  <c:v>1437</c:v>
                </c:pt>
              </c:numCache>
            </c:numRef>
          </c:val>
        </c:ser>
        <c:ser>
          <c:idx val="7"/>
          <c:order val="7"/>
          <c:tx>
            <c:strRef>
              <c:f>[2]月度数据对比!$I$20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[2]月度数据对比!$I$21:$I$32</c:f>
              <c:numCache>
                <c:formatCode>General</c:formatCode>
                <c:ptCount val="12"/>
                <c:pt idx="0">
                  <c:v>2391</c:v>
                </c:pt>
                <c:pt idx="1">
                  <c:v>1090</c:v>
                </c:pt>
                <c:pt idx="2">
                  <c:v>1034</c:v>
                </c:pt>
                <c:pt idx="3">
                  <c:v>697</c:v>
                </c:pt>
                <c:pt idx="4">
                  <c:v>212</c:v>
                </c:pt>
                <c:pt idx="5">
                  <c:v>453</c:v>
                </c:pt>
                <c:pt idx="6">
                  <c:v>756</c:v>
                </c:pt>
                <c:pt idx="7">
                  <c:v>648</c:v>
                </c:pt>
                <c:pt idx="8">
                  <c:v>355</c:v>
                </c:pt>
                <c:pt idx="9">
                  <c:v>177</c:v>
                </c:pt>
                <c:pt idx="10">
                  <c:v>311</c:v>
                </c:pt>
                <c:pt idx="11">
                  <c:v>767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74"/>
        <c:axId val="484699202"/>
        <c:axId val="48511119"/>
      </c:barChart>
      <c:catAx>
        <c:axId val="484699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511119"/>
        <c:crosses val="autoZero"/>
        <c:auto val="1"/>
        <c:lblAlgn val="ctr"/>
        <c:lblOffset val="100"/>
        <c:noMultiLvlLbl val="0"/>
      </c:catAx>
      <c:valAx>
        <c:axId val="4851111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4699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6453f2-4b3e-41ee-835a-aba3d96fb6d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每月到店数据对比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[2]月度数据对比!$N$20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[2]月度数据对比!$N$21:$N$32</c:f>
              <c:numCache>
                <c:formatCode>General</c:formatCode>
                <c:ptCount val="12"/>
                <c:pt idx="0">
                  <c:v>136</c:v>
                </c:pt>
                <c:pt idx="1">
                  <c:v>77</c:v>
                </c:pt>
                <c:pt idx="2">
                  <c:v>18</c:v>
                </c:pt>
                <c:pt idx="3">
                  <c:v>32</c:v>
                </c:pt>
                <c:pt idx="4">
                  <c:v>3</c:v>
                </c:pt>
                <c:pt idx="5">
                  <c:v>45</c:v>
                </c:pt>
                <c:pt idx="6">
                  <c:v>25</c:v>
                </c:pt>
                <c:pt idx="7">
                  <c:v>17</c:v>
                </c:pt>
                <c:pt idx="8">
                  <c:v>20</c:v>
                </c:pt>
                <c:pt idx="9">
                  <c:v>23</c:v>
                </c:pt>
              </c:numCache>
            </c:numRef>
          </c:val>
        </c:ser>
        <c:ser>
          <c:idx val="1"/>
          <c:order val="1"/>
          <c:tx>
            <c:strRef>
              <c:f>[2]月度数据对比!$O$20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[2]月度数据对比!$O$21:$O$32</c:f>
              <c:numCache>
                <c:formatCode>General</c:formatCode>
                <c:ptCount val="12"/>
                <c:pt idx="0">
                  <c:v>77</c:v>
                </c:pt>
                <c:pt idx="1">
                  <c:v>34</c:v>
                </c:pt>
                <c:pt idx="2">
                  <c:v>7</c:v>
                </c:pt>
                <c:pt idx="3">
                  <c:v>30</c:v>
                </c:pt>
                <c:pt idx="4">
                  <c:v>11</c:v>
                </c:pt>
                <c:pt idx="5">
                  <c:v>45</c:v>
                </c:pt>
                <c:pt idx="6">
                  <c:v>32</c:v>
                </c:pt>
                <c:pt idx="7">
                  <c:v>14</c:v>
                </c:pt>
                <c:pt idx="8">
                  <c:v>15</c:v>
                </c:pt>
                <c:pt idx="9">
                  <c:v>21</c:v>
                </c:pt>
              </c:numCache>
            </c:numRef>
          </c:val>
        </c:ser>
        <c:ser>
          <c:idx val="2"/>
          <c:order val="2"/>
          <c:tx>
            <c:strRef>
              <c:f>[2]月度数据对比!$P$20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[2]月度数据对比!$P$21:$P$32</c:f>
              <c:numCache>
                <c:formatCode>General</c:formatCode>
                <c:ptCount val="12"/>
                <c:pt idx="0">
                  <c:v>113</c:v>
                </c:pt>
                <c:pt idx="1">
                  <c:v>45</c:v>
                </c:pt>
                <c:pt idx="2">
                  <c:v>42</c:v>
                </c:pt>
                <c:pt idx="3">
                  <c:v>29</c:v>
                </c:pt>
                <c:pt idx="4">
                  <c:v>29</c:v>
                </c:pt>
                <c:pt idx="5">
                  <c:v>51</c:v>
                </c:pt>
                <c:pt idx="6">
                  <c:v>70</c:v>
                </c:pt>
                <c:pt idx="7">
                  <c:v>16</c:v>
                </c:pt>
                <c:pt idx="8">
                  <c:v>24</c:v>
                </c:pt>
                <c:pt idx="9">
                  <c:v>10</c:v>
                </c:pt>
                <c:pt idx="10">
                  <c:v>62</c:v>
                </c:pt>
              </c:numCache>
            </c:numRef>
          </c:val>
        </c:ser>
        <c:ser>
          <c:idx val="3"/>
          <c:order val="3"/>
          <c:tx>
            <c:strRef>
              <c:f>[2]月度数据对比!$Q$20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[2]月度数据对比!$Q$21:$Q$32</c:f>
              <c:numCache>
                <c:formatCode>General</c:formatCode>
                <c:ptCount val="12"/>
                <c:pt idx="0">
                  <c:v>63</c:v>
                </c:pt>
                <c:pt idx="1">
                  <c:v>65</c:v>
                </c:pt>
                <c:pt idx="2">
                  <c:v>56</c:v>
                </c:pt>
                <c:pt idx="3">
                  <c:v>17</c:v>
                </c:pt>
                <c:pt idx="4">
                  <c:v>24</c:v>
                </c:pt>
                <c:pt idx="5">
                  <c:v>61</c:v>
                </c:pt>
                <c:pt idx="6">
                  <c:v>68</c:v>
                </c:pt>
                <c:pt idx="7">
                  <c:v>25</c:v>
                </c:pt>
                <c:pt idx="8">
                  <c:v>47</c:v>
                </c:pt>
                <c:pt idx="9">
                  <c:v>11</c:v>
                </c:pt>
                <c:pt idx="10">
                  <c:v>73</c:v>
                </c:pt>
              </c:numCache>
            </c:numRef>
          </c:val>
        </c:ser>
        <c:ser>
          <c:idx val="4"/>
          <c:order val="4"/>
          <c:tx>
            <c:strRef>
              <c:f>[2]月度数据对比!$R$20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[2]月度数据对比!$R$21:$R$32</c:f>
              <c:numCache>
                <c:formatCode>General</c:formatCode>
                <c:ptCount val="12"/>
                <c:pt idx="0">
                  <c:v>86</c:v>
                </c:pt>
                <c:pt idx="1">
                  <c:v>65</c:v>
                </c:pt>
                <c:pt idx="2">
                  <c:v>44</c:v>
                </c:pt>
                <c:pt idx="3">
                  <c:v>32</c:v>
                </c:pt>
                <c:pt idx="4">
                  <c:v>20</c:v>
                </c:pt>
                <c:pt idx="5">
                  <c:v>40</c:v>
                </c:pt>
                <c:pt idx="6">
                  <c:v>86</c:v>
                </c:pt>
                <c:pt idx="7">
                  <c:v>28</c:v>
                </c:pt>
                <c:pt idx="8">
                  <c:v>27</c:v>
                </c:pt>
                <c:pt idx="9">
                  <c:v>34</c:v>
                </c:pt>
                <c:pt idx="10">
                  <c:v>80</c:v>
                </c:pt>
                <c:pt idx="11">
                  <c:v>17</c:v>
                </c:pt>
              </c:numCache>
            </c:numRef>
          </c:val>
        </c:ser>
        <c:ser>
          <c:idx val="5"/>
          <c:order val="5"/>
          <c:tx>
            <c:strRef>
              <c:f>[2]月度数据对比!$S$20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[2]月度数据对比!$S$21:$S$32</c:f>
              <c:numCache>
                <c:formatCode>General</c:formatCode>
                <c:ptCount val="12"/>
                <c:pt idx="0">
                  <c:v>65</c:v>
                </c:pt>
                <c:pt idx="1">
                  <c:v>67</c:v>
                </c:pt>
                <c:pt idx="2">
                  <c:v>34</c:v>
                </c:pt>
                <c:pt idx="3">
                  <c:v>24</c:v>
                </c:pt>
                <c:pt idx="4">
                  <c:v>13</c:v>
                </c:pt>
                <c:pt idx="5">
                  <c:v>89</c:v>
                </c:pt>
                <c:pt idx="6">
                  <c:v>107</c:v>
                </c:pt>
                <c:pt idx="7">
                  <c:v>37</c:v>
                </c:pt>
                <c:pt idx="8">
                  <c:v>26</c:v>
                </c:pt>
                <c:pt idx="9">
                  <c:v>24</c:v>
                </c:pt>
                <c:pt idx="10">
                  <c:v>43</c:v>
                </c:pt>
                <c:pt idx="11">
                  <c:v>39</c:v>
                </c:pt>
              </c:numCache>
            </c:numRef>
          </c:val>
        </c:ser>
        <c:ser>
          <c:idx val="6"/>
          <c:order val="6"/>
          <c:tx>
            <c:strRef>
              <c:f>[2]月度数据对比!$T$20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[2]月度数据对比!$T$21:$T$32</c:f>
              <c:numCache>
                <c:formatCode>General</c:formatCode>
                <c:ptCount val="12"/>
                <c:pt idx="0">
                  <c:v>69</c:v>
                </c:pt>
                <c:pt idx="1">
                  <c:v>79</c:v>
                </c:pt>
                <c:pt idx="2">
                  <c:v>60</c:v>
                </c:pt>
                <c:pt idx="3">
                  <c:v>51</c:v>
                </c:pt>
                <c:pt idx="4">
                  <c:v>4</c:v>
                </c:pt>
                <c:pt idx="5">
                  <c:v>89</c:v>
                </c:pt>
                <c:pt idx="6">
                  <c:v>108</c:v>
                </c:pt>
                <c:pt idx="7">
                  <c:v>19</c:v>
                </c:pt>
                <c:pt idx="8">
                  <c:v>33</c:v>
                </c:pt>
                <c:pt idx="9">
                  <c:v>20</c:v>
                </c:pt>
                <c:pt idx="10">
                  <c:v>74</c:v>
                </c:pt>
                <c:pt idx="11">
                  <c:v>34</c:v>
                </c:pt>
              </c:numCache>
            </c:numRef>
          </c:val>
        </c:ser>
        <c:ser>
          <c:idx val="7"/>
          <c:order val="7"/>
          <c:tx>
            <c:strRef>
              <c:f>[2]月度数据对比!$U$20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[2]月度数据对比!$U$21:$U$32</c:f>
              <c:numCache>
                <c:formatCode>General</c:formatCode>
                <c:ptCount val="12"/>
                <c:pt idx="0">
                  <c:v>76</c:v>
                </c:pt>
                <c:pt idx="1">
                  <c:v>47</c:v>
                </c:pt>
                <c:pt idx="2">
                  <c:v>46</c:v>
                </c:pt>
                <c:pt idx="3">
                  <c:v>20</c:v>
                </c:pt>
                <c:pt idx="4">
                  <c:v>1</c:v>
                </c:pt>
                <c:pt idx="5">
                  <c:v>111</c:v>
                </c:pt>
                <c:pt idx="6">
                  <c:v>73</c:v>
                </c:pt>
                <c:pt idx="7">
                  <c:v>26</c:v>
                </c:pt>
                <c:pt idx="8">
                  <c:v>22</c:v>
                </c:pt>
                <c:pt idx="9">
                  <c:v>31</c:v>
                </c:pt>
                <c:pt idx="10">
                  <c:v>50</c:v>
                </c:pt>
                <c:pt idx="11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81"/>
        <c:axId val="624543313"/>
        <c:axId val="129019997"/>
      </c:barChart>
      <c:catAx>
        <c:axId val="6245433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29019997"/>
        <c:crosses val="autoZero"/>
        <c:auto val="1"/>
        <c:lblAlgn val="ctr"/>
        <c:lblOffset val="100"/>
        <c:noMultiLvlLbl val="0"/>
      </c:catAx>
      <c:valAx>
        <c:axId val="12901999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24543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bd4c30-ff84-4ce0-b3b5-eef01db6b7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每月付费流线索数对比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[2]月度数据对比!$B$36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[2]月度数据对比!$B$37:$B$48</c:f>
              <c:numCache>
                <c:formatCode>General</c:formatCode>
                <c:ptCount val="12"/>
                <c:pt idx="0">
                  <c:v>1750</c:v>
                </c:pt>
                <c:pt idx="1">
                  <c:v>400</c:v>
                </c:pt>
                <c:pt idx="2">
                  <c:v>174</c:v>
                </c:pt>
                <c:pt idx="3">
                  <c:v>514</c:v>
                </c:pt>
                <c:pt idx="4">
                  <c:v>0</c:v>
                </c:pt>
                <c:pt idx="5">
                  <c:v>622</c:v>
                </c:pt>
                <c:pt idx="6">
                  <c:v>71</c:v>
                </c:pt>
                <c:pt idx="7">
                  <c:v>18</c:v>
                </c:pt>
                <c:pt idx="8">
                  <c:v>20</c:v>
                </c:pt>
                <c:pt idx="9">
                  <c:v>235</c:v>
                </c:pt>
              </c:numCache>
            </c:numRef>
          </c:val>
        </c:ser>
        <c:ser>
          <c:idx val="1"/>
          <c:order val="1"/>
          <c:tx>
            <c:strRef>
              <c:f>[2]月度数据对比!$C$36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[2]月度数据对比!$C$37:$C$48</c:f>
              <c:numCache>
                <c:formatCode>General</c:formatCode>
                <c:ptCount val="12"/>
                <c:pt idx="0">
                  <c:v>1011</c:v>
                </c:pt>
                <c:pt idx="1">
                  <c:v>297</c:v>
                </c:pt>
                <c:pt idx="2">
                  <c:v>154</c:v>
                </c:pt>
                <c:pt idx="3">
                  <c:v>542</c:v>
                </c:pt>
                <c:pt idx="4">
                  <c:v>23</c:v>
                </c:pt>
                <c:pt idx="5">
                  <c:v>461</c:v>
                </c:pt>
                <c:pt idx="6">
                  <c:v>253</c:v>
                </c:pt>
                <c:pt idx="7">
                  <c:v>66</c:v>
                </c:pt>
                <c:pt idx="8">
                  <c:v>3</c:v>
                </c:pt>
                <c:pt idx="9">
                  <c:v>151</c:v>
                </c:pt>
              </c:numCache>
            </c:numRef>
          </c:val>
        </c:ser>
        <c:ser>
          <c:idx val="2"/>
          <c:order val="2"/>
          <c:tx>
            <c:strRef>
              <c:f>[2]月度数据对比!$D$36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[2]月度数据对比!$D$37:$D$48</c:f>
              <c:numCache>
                <c:formatCode>General</c:formatCode>
                <c:ptCount val="12"/>
                <c:pt idx="0">
                  <c:v>1368</c:v>
                </c:pt>
                <c:pt idx="1">
                  <c:v>355</c:v>
                </c:pt>
                <c:pt idx="2">
                  <c:v>423</c:v>
                </c:pt>
                <c:pt idx="3">
                  <c:v>405</c:v>
                </c:pt>
                <c:pt idx="4">
                  <c:v>314</c:v>
                </c:pt>
                <c:pt idx="5">
                  <c:v>432</c:v>
                </c:pt>
                <c:pt idx="6">
                  <c:v>370</c:v>
                </c:pt>
                <c:pt idx="7">
                  <c:v>159</c:v>
                </c:pt>
                <c:pt idx="8">
                  <c:v>107</c:v>
                </c:pt>
                <c:pt idx="9">
                  <c:v>77</c:v>
                </c:pt>
                <c:pt idx="10">
                  <c:v>431</c:v>
                </c:pt>
              </c:numCache>
            </c:numRef>
          </c:val>
        </c:ser>
        <c:ser>
          <c:idx val="3"/>
          <c:order val="3"/>
          <c:tx>
            <c:strRef>
              <c:f>[2]月度数据对比!$E$36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[2]月度数据对比!$E$37:$E$48</c:f>
              <c:numCache>
                <c:formatCode>General</c:formatCode>
                <c:ptCount val="12"/>
                <c:pt idx="0">
                  <c:v>621</c:v>
                </c:pt>
                <c:pt idx="1">
                  <c:v>344</c:v>
                </c:pt>
                <c:pt idx="2">
                  <c:v>433</c:v>
                </c:pt>
                <c:pt idx="3">
                  <c:v>393</c:v>
                </c:pt>
                <c:pt idx="4">
                  <c:v>117</c:v>
                </c:pt>
                <c:pt idx="5">
                  <c:v>339</c:v>
                </c:pt>
                <c:pt idx="6">
                  <c:v>428</c:v>
                </c:pt>
                <c:pt idx="7">
                  <c:v>192</c:v>
                </c:pt>
                <c:pt idx="8">
                  <c:v>206</c:v>
                </c:pt>
                <c:pt idx="9">
                  <c:v>35</c:v>
                </c:pt>
                <c:pt idx="10">
                  <c:v>399</c:v>
                </c:pt>
              </c:numCache>
            </c:numRef>
          </c:val>
        </c:ser>
        <c:ser>
          <c:idx val="4"/>
          <c:order val="4"/>
          <c:tx>
            <c:strRef>
              <c:f>[2]月度数据对比!$F$36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[2]月度数据对比!$F$37:$F$48</c:f>
              <c:numCache>
                <c:formatCode>General</c:formatCode>
                <c:ptCount val="12"/>
                <c:pt idx="0">
                  <c:v>1172</c:v>
                </c:pt>
                <c:pt idx="1">
                  <c:v>299</c:v>
                </c:pt>
                <c:pt idx="2">
                  <c:v>552</c:v>
                </c:pt>
                <c:pt idx="3">
                  <c:v>615</c:v>
                </c:pt>
                <c:pt idx="4">
                  <c:v>263</c:v>
                </c:pt>
                <c:pt idx="5">
                  <c:v>305</c:v>
                </c:pt>
                <c:pt idx="6">
                  <c:v>460</c:v>
                </c:pt>
                <c:pt idx="7">
                  <c:v>232</c:v>
                </c:pt>
                <c:pt idx="8">
                  <c:v>206</c:v>
                </c:pt>
                <c:pt idx="9">
                  <c:v>99</c:v>
                </c:pt>
                <c:pt idx="10">
                  <c:v>460</c:v>
                </c:pt>
                <c:pt idx="11">
                  <c:v>211</c:v>
                </c:pt>
              </c:numCache>
            </c:numRef>
          </c:val>
        </c:ser>
        <c:ser>
          <c:idx val="5"/>
          <c:order val="5"/>
          <c:tx>
            <c:strRef>
              <c:f>[2]月度数据对比!$G$36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[2]月度数据对比!$G$37:$G$48</c:f>
              <c:numCache>
                <c:formatCode>General</c:formatCode>
                <c:ptCount val="12"/>
                <c:pt idx="0">
                  <c:v>1311</c:v>
                </c:pt>
                <c:pt idx="1">
                  <c:v>566</c:v>
                </c:pt>
                <c:pt idx="2">
                  <c:v>453</c:v>
                </c:pt>
                <c:pt idx="3">
                  <c:v>459</c:v>
                </c:pt>
                <c:pt idx="4">
                  <c:v>379</c:v>
                </c:pt>
                <c:pt idx="5">
                  <c:v>399</c:v>
                </c:pt>
                <c:pt idx="6">
                  <c:v>501</c:v>
                </c:pt>
                <c:pt idx="7">
                  <c:v>296</c:v>
                </c:pt>
                <c:pt idx="8">
                  <c:v>161</c:v>
                </c:pt>
                <c:pt idx="9">
                  <c:v>120</c:v>
                </c:pt>
                <c:pt idx="10">
                  <c:v>285</c:v>
                </c:pt>
                <c:pt idx="11">
                  <c:v>594</c:v>
                </c:pt>
              </c:numCache>
            </c:numRef>
          </c:val>
        </c:ser>
        <c:ser>
          <c:idx val="6"/>
          <c:order val="6"/>
          <c:tx>
            <c:strRef>
              <c:f>[2]月度数据对比!$H$36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[2]月度数据对比!$H$37:$H$48</c:f>
              <c:numCache>
                <c:formatCode>General</c:formatCode>
                <c:ptCount val="12"/>
                <c:pt idx="0">
                  <c:v>1149</c:v>
                </c:pt>
                <c:pt idx="1">
                  <c:v>692</c:v>
                </c:pt>
                <c:pt idx="2">
                  <c:v>499</c:v>
                </c:pt>
                <c:pt idx="3">
                  <c:v>690</c:v>
                </c:pt>
                <c:pt idx="4">
                  <c:v>398</c:v>
                </c:pt>
                <c:pt idx="5">
                  <c:v>409</c:v>
                </c:pt>
                <c:pt idx="6">
                  <c:v>709</c:v>
                </c:pt>
                <c:pt idx="7">
                  <c:v>374</c:v>
                </c:pt>
                <c:pt idx="8">
                  <c:v>145</c:v>
                </c:pt>
                <c:pt idx="9">
                  <c:v>111</c:v>
                </c:pt>
                <c:pt idx="10">
                  <c:v>433</c:v>
                </c:pt>
                <c:pt idx="11">
                  <c:v>721</c:v>
                </c:pt>
              </c:numCache>
            </c:numRef>
          </c:val>
        </c:ser>
        <c:ser>
          <c:idx val="7"/>
          <c:order val="7"/>
          <c:tx>
            <c:strRef>
              <c:f>[2]月度数据对比!$I$36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[2]月度数据对比!$I$37:$I$48</c:f>
              <c:numCache>
                <c:formatCode>General</c:formatCode>
                <c:ptCount val="12"/>
                <c:pt idx="0">
                  <c:v>2171</c:v>
                </c:pt>
                <c:pt idx="1">
                  <c:v>1066</c:v>
                </c:pt>
                <c:pt idx="2">
                  <c:v>955</c:v>
                </c:pt>
                <c:pt idx="3">
                  <c:v>625</c:v>
                </c:pt>
                <c:pt idx="4">
                  <c:v>206</c:v>
                </c:pt>
                <c:pt idx="5">
                  <c:v>334</c:v>
                </c:pt>
                <c:pt idx="6">
                  <c:v>607</c:v>
                </c:pt>
                <c:pt idx="7">
                  <c:v>418</c:v>
                </c:pt>
                <c:pt idx="8">
                  <c:v>145</c:v>
                </c:pt>
                <c:pt idx="9">
                  <c:v>125</c:v>
                </c:pt>
                <c:pt idx="10">
                  <c:v>256</c:v>
                </c:pt>
                <c:pt idx="11">
                  <c:v>495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每月总到店达成率比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[2]月度数据对比!$S$36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[2]月度数据对比!$M$37:$M$48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[2]月度数据对比!$S$37:$S$48</c:f>
              <c:numCache>
                <c:formatCode>General</c:formatCode>
                <c:ptCount val="12"/>
              </c:numCache>
            </c:numRef>
          </c:val>
        </c:ser>
        <c:ser>
          <c:idx val="6"/>
          <c:order val="6"/>
          <c:tx>
            <c:strRef>
              <c:f>[2]月度数据对比!$T$36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[2]月度数据对比!$M$37:$M$48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[2]月度数据对比!$T$37:$T$48</c:f>
              <c:numCache>
                <c:formatCode>General</c:formatCode>
                <c:ptCount val="12"/>
              </c:numCache>
            </c:numRef>
          </c:val>
        </c:ser>
        <c:ser>
          <c:idx val="7"/>
          <c:order val="7"/>
          <c:tx>
            <c:strRef>
              <c:f>[2]月度数据对比!$U$36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[2]月度数据对比!$M$37:$M$48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[2]月度数据对比!$U$37:$U$48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[2]月度数据对比!$N$36</c15:sqref>
                        </c15:formulaRef>
                      </c:ext>
                    </c:extLst>
                    <c:strCache>
                      <c:ptCount val="1"/>
                      <c:pt idx="0">
                        <c:v>2月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[2]月度数据对比!$O$36</c15:sqref>
                        </c15:formulaRef>
                      </c:ext>
                    </c:extLst>
                    <c:strCache>
                      <c:ptCount val="1"/>
                      <c:pt idx="0">
                        <c:v>3月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[2]月度数据对比!$P$36</c15:sqref>
                        </c15:formulaRef>
                      </c:ext>
                    </c:extLst>
                    <c:strCache>
                      <c:ptCount val="1"/>
                      <c:pt idx="0">
                        <c:v>4月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[2]月度数据对比!$Q$36</c15:sqref>
                        </c15:formulaRef>
                      </c:ext>
                    </c:extLst>
                    <c:strCache>
                      <c:ptCount val="1"/>
                      <c:pt idx="0">
                        <c:v>5月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[2]月度数据对比!$R$36</c15:sqref>
                        </c15:formulaRef>
                      </c:ext>
                    </c:extLst>
                    <c:strCache>
                      <c:ptCount val="1"/>
                      <c:pt idx="0">
                        <c:v>6月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每月订单对比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[3]月度数据对比!$B$1:$B$2</c:f>
              <c:strCache>
                <c:ptCount val="1"/>
                <c:pt idx="0">
                  <c:v>每月订单对比 店名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[3]月度数据对比!$B$3:$B$14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[3]月度数据对比!$C$1:$C$2</c:f>
              <c:strCache>
                <c:ptCount val="1"/>
                <c:pt idx="0">
                  <c:v>每月订单对比 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[3]月度数据对比!$C$3:$C$14</c:f>
              <c:numCache>
                <c:formatCode>General</c:formatCode>
                <c:ptCount val="12"/>
                <c:pt idx="0">
                  <c:v>52</c:v>
                </c:pt>
                <c:pt idx="1">
                  <c:v>20</c:v>
                </c:pt>
                <c:pt idx="2">
                  <c:v>4</c:v>
                </c:pt>
                <c:pt idx="3">
                  <c:v>17</c:v>
                </c:pt>
                <c:pt idx="4">
                  <c:v>0</c:v>
                </c:pt>
                <c:pt idx="5">
                  <c:v>11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</c:ser>
        <c:ser>
          <c:idx val="2"/>
          <c:order val="2"/>
          <c:tx>
            <c:strRef>
              <c:f>[3]月度数据对比!$D$1:$D$2</c:f>
              <c:strCache>
                <c:ptCount val="1"/>
                <c:pt idx="0">
                  <c:v>每月订单对比 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[3]月度数据对比!$D$3:$D$14</c:f>
              <c:numCache>
                <c:formatCode>General</c:formatCode>
                <c:ptCount val="12"/>
                <c:pt idx="0">
                  <c:v>24</c:v>
                </c:pt>
                <c:pt idx="1">
                  <c:v>9</c:v>
                </c:pt>
                <c:pt idx="2">
                  <c:v>3</c:v>
                </c:pt>
                <c:pt idx="3">
                  <c:v>13</c:v>
                </c:pt>
                <c:pt idx="4">
                  <c:v>0</c:v>
                </c:pt>
                <c:pt idx="5">
                  <c:v>5</c:v>
                </c:pt>
                <c:pt idx="6">
                  <c:v>13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</c:numCache>
            </c:numRef>
          </c:val>
        </c:ser>
        <c:ser>
          <c:idx val="3"/>
          <c:order val="3"/>
          <c:tx>
            <c:strRef>
              <c:f>[3]月度数据对比!$E$1:$E$2</c:f>
              <c:strCache>
                <c:ptCount val="1"/>
                <c:pt idx="0">
                  <c:v>每月订单对比 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[3]月度数据对比!$E$3:$E$14</c:f>
              <c:numCache>
                <c:formatCode>General</c:formatCode>
                <c:ptCount val="12"/>
                <c:pt idx="0">
                  <c:v>55</c:v>
                </c:pt>
                <c:pt idx="1">
                  <c:v>18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12</c:v>
                </c:pt>
              </c:numCache>
            </c:numRef>
          </c:val>
        </c:ser>
        <c:ser>
          <c:idx val="4"/>
          <c:order val="4"/>
          <c:tx>
            <c:strRef>
              <c:f>[3]月度数据对比!$F$1:$F$2</c:f>
              <c:strCache>
                <c:ptCount val="1"/>
                <c:pt idx="0">
                  <c:v>每月订单对比 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[3]月度数据对比!$F$3:$F$14</c:f>
              <c:numCache>
                <c:formatCode>General</c:formatCode>
                <c:ptCount val="12"/>
                <c:pt idx="0">
                  <c:v>37</c:v>
                </c:pt>
                <c:pt idx="1">
                  <c:v>20</c:v>
                </c:pt>
                <c:pt idx="2">
                  <c:v>16</c:v>
                </c:pt>
                <c:pt idx="3">
                  <c:v>12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13</c:v>
                </c:pt>
              </c:numCache>
            </c:numRef>
          </c:val>
        </c:ser>
        <c:ser>
          <c:idx val="5"/>
          <c:order val="5"/>
          <c:tx>
            <c:strRef>
              <c:f>[3]月度数据对比!$G$1:$G$2</c:f>
              <c:strCache>
                <c:ptCount val="1"/>
                <c:pt idx="0">
                  <c:v>每月订单对比 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[3]月度数据对比!$G$3:$G$14</c:f>
              <c:numCache>
                <c:formatCode>General</c:formatCode>
                <c:ptCount val="12"/>
                <c:pt idx="0">
                  <c:v>43</c:v>
                </c:pt>
                <c:pt idx="1">
                  <c:v>20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10</c:v>
                </c:pt>
                <c:pt idx="6">
                  <c:v>19</c:v>
                </c:pt>
                <c:pt idx="7">
                  <c:v>9</c:v>
                </c:pt>
                <c:pt idx="8">
                  <c:v>5</c:v>
                </c:pt>
                <c:pt idx="9">
                  <c:v>15</c:v>
                </c:pt>
                <c:pt idx="10">
                  <c:v>20</c:v>
                </c:pt>
                <c:pt idx="11">
                  <c:v>1</c:v>
                </c:pt>
              </c:numCache>
            </c:numRef>
          </c:val>
        </c:ser>
        <c:ser>
          <c:idx val="6"/>
          <c:order val="6"/>
          <c:tx>
            <c:strRef>
              <c:f>[3]月度数据对比!$H$1:$H$2</c:f>
              <c:strCache>
                <c:ptCount val="1"/>
                <c:pt idx="0">
                  <c:v>每月订单对比 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[3]月度数据对比!$H$3:$H$14</c:f>
              <c:numCache>
                <c:formatCode>General</c:formatCode>
                <c:ptCount val="12"/>
                <c:pt idx="0">
                  <c:v>28</c:v>
                </c:pt>
                <c:pt idx="1">
                  <c:v>13</c:v>
                </c:pt>
                <c:pt idx="2">
                  <c:v>12</c:v>
                </c:pt>
                <c:pt idx="3">
                  <c:v>9</c:v>
                </c:pt>
                <c:pt idx="4">
                  <c:v>6</c:v>
                </c:pt>
                <c:pt idx="5">
                  <c:v>22</c:v>
                </c:pt>
                <c:pt idx="6">
                  <c:v>21</c:v>
                </c:pt>
                <c:pt idx="7">
                  <c:v>14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</c:ser>
        <c:ser>
          <c:idx val="7"/>
          <c:order val="7"/>
          <c:tx>
            <c:strRef>
              <c:f>[3]月度数据对比!$I$1:$I$2</c:f>
              <c:strCache>
                <c:ptCount val="1"/>
                <c:pt idx="0">
                  <c:v>每月订单对比 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[3]月度数据对比!$A$3:$A$14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[3]月度数据对比!$I$3:$I$14</c:f>
              <c:numCache>
                <c:formatCode>General</c:formatCode>
                <c:ptCount val="12"/>
                <c:pt idx="0">
                  <c:v>30</c:v>
                </c:pt>
                <c:pt idx="1">
                  <c:v>19</c:v>
                </c:pt>
                <c:pt idx="2">
                  <c:v>20</c:v>
                </c:pt>
                <c:pt idx="3">
                  <c:v>14</c:v>
                </c:pt>
                <c:pt idx="4">
                  <c:v>3</c:v>
                </c:pt>
                <c:pt idx="5">
                  <c:v>12</c:v>
                </c:pt>
                <c:pt idx="6">
                  <c:v>23</c:v>
                </c:pt>
                <c:pt idx="7">
                  <c:v>12</c:v>
                </c:pt>
                <c:pt idx="8">
                  <c:v>7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62"/>
        <c:axId val="362890113"/>
        <c:axId val="914149502"/>
      </c:barChart>
      <c:catAx>
        <c:axId val="3628901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14149502"/>
        <c:crosses val="autoZero"/>
        <c:auto val="1"/>
        <c:lblAlgn val="ctr"/>
        <c:lblOffset val="100"/>
        <c:noMultiLvlLbl val="0"/>
      </c:catAx>
      <c:valAx>
        <c:axId val="9141495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62890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6637b-dd23-4142-848e-cab6640afd7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每月新媒体订单占比</a:t>
            </a:r>
            <a:endParaRPr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8974845752254"/>
          <c:y val="0.0133774834437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[3]月度数据对比!$O$2</c:f>
              <c:strCache>
                <c:ptCount val="1"/>
                <c:pt idx="0">
                  <c:v>店名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[3]月度数据对比!$O$3:$O$14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[3]月度数据对比!$P$2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[3]月度数据对比!$P$3:$P$14</c:f>
              <c:numCache>
                <c:formatCode>General</c:formatCode>
                <c:ptCount val="12"/>
                <c:pt idx="0">
                  <c:v>0.25</c:v>
                </c:pt>
                <c:pt idx="1">
                  <c:v>0.162</c:v>
                </c:pt>
                <c:pt idx="2">
                  <c:v>0.07</c:v>
                </c:pt>
                <c:pt idx="3">
                  <c:v>0.153</c:v>
                </c:pt>
                <c:pt idx="4">
                  <c:v>0</c:v>
                </c:pt>
                <c:pt idx="5">
                  <c:v>0.133</c:v>
                </c:pt>
                <c:pt idx="6">
                  <c:v>0.2</c:v>
                </c:pt>
                <c:pt idx="7">
                  <c:v>0.07</c:v>
                </c:pt>
                <c:pt idx="8">
                  <c:v>0.26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[3]月度数据对比!$Q$2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[3]月度数据对比!$Q$3:$Q$14</c:f>
              <c:numCache>
                <c:formatCode>General</c:formatCode>
                <c:ptCount val="12"/>
                <c:pt idx="0">
                  <c:v>0.205</c:v>
                </c:pt>
                <c:pt idx="1">
                  <c:v>0.128</c:v>
                </c:pt>
                <c:pt idx="3">
                  <c:v>0.135</c:v>
                </c:pt>
                <c:pt idx="5">
                  <c:v>0.033</c:v>
                </c:pt>
                <c:pt idx="6">
                  <c:v>0.23</c:v>
                </c:pt>
                <c:pt idx="7">
                  <c:v>0.15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</c:ser>
        <c:ser>
          <c:idx val="3"/>
          <c:order val="3"/>
          <c:tx>
            <c:strRef>
              <c:f>[3]月度数据对比!$R$2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[3]月度数据对比!$R$3:$R$14</c:f>
              <c:numCache>
                <c:formatCode>General</c:formatCode>
                <c:ptCount val="12"/>
                <c:pt idx="0">
                  <c:v>0.21</c:v>
                </c:pt>
                <c:pt idx="1">
                  <c:v>0.25</c:v>
                </c:pt>
                <c:pt idx="2">
                  <c:v>0.2</c:v>
                </c:pt>
                <c:pt idx="3">
                  <c:v>0.143</c:v>
                </c:pt>
                <c:pt idx="4">
                  <c:v>0.18</c:v>
                </c:pt>
                <c:pt idx="5">
                  <c:v>0.175</c:v>
                </c:pt>
                <c:pt idx="6">
                  <c:v>0.1</c:v>
                </c:pt>
                <c:pt idx="7">
                  <c:v>0.09</c:v>
                </c:pt>
                <c:pt idx="8">
                  <c:v>0.117</c:v>
                </c:pt>
                <c:pt idx="9">
                  <c:v>0.05</c:v>
                </c:pt>
                <c:pt idx="10">
                  <c:v>0.2</c:v>
                </c:pt>
              </c:numCache>
            </c:numRef>
          </c:val>
        </c:ser>
        <c:ser>
          <c:idx val="4"/>
          <c:order val="4"/>
          <c:tx>
            <c:strRef>
              <c:f>[3]月度数据对比!$S$2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[3]月度数据对比!$S$3:$S$14</c:f>
              <c:numCache>
                <c:formatCode>General</c:formatCode>
                <c:ptCount val="12"/>
                <c:pt idx="0">
                  <c:v>0.26</c:v>
                </c:pt>
                <c:pt idx="1">
                  <c:v>0.169</c:v>
                </c:pt>
                <c:pt idx="2">
                  <c:v>0.333</c:v>
                </c:pt>
                <c:pt idx="3">
                  <c:v>0.286</c:v>
                </c:pt>
                <c:pt idx="4">
                  <c:v>0.333</c:v>
                </c:pt>
                <c:pt idx="5">
                  <c:v>0.154</c:v>
                </c:pt>
                <c:pt idx="6">
                  <c:v>0.185</c:v>
                </c:pt>
                <c:pt idx="7">
                  <c:v>0.069</c:v>
                </c:pt>
                <c:pt idx="8">
                  <c:v>0.138</c:v>
                </c:pt>
                <c:pt idx="9">
                  <c:v>0.06</c:v>
                </c:pt>
                <c:pt idx="10">
                  <c:v>0.2</c:v>
                </c:pt>
              </c:numCache>
            </c:numRef>
          </c:val>
        </c:ser>
        <c:ser>
          <c:idx val="5"/>
          <c:order val="5"/>
          <c:tx>
            <c:strRef>
              <c:f>[3]月度数据对比!$T$2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[3]月度数据对比!$T$3:$T$14</c:f>
              <c:numCache>
                <c:formatCode>General</c:formatCode>
                <c:ptCount val="12"/>
                <c:pt idx="0">
                  <c:v>0.29</c:v>
                </c:pt>
                <c:pt idx="1">
                  <c:v>0.168</c:v>
                </c:pt>
                <c:pt idx="2">
                  <c:v>0.05</c:v>
                </c:pt>
                <c:pt idx="3">
                  <c:v>0.08</c:v>
                </c:pt>
                <c:pt idx="4">
                  <c:v>0.23</c:v>
                </c:pt>
                <c:pt idx="5">
                  <c:v>0.09</c:v>
                </c:pt>
                <c:pt idx="6">
                  <c:v>0.2</c:v>
                </c:pt>
                <c:pt idx="7">
                  <c:v>0.072</c:v>
                </c:pt>
                <c:pt idx="8">
                  <c:v>0.084</c:v>
                </c:pt>
                <c:pt idx="9">
                  <c:v>0.06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[3]月度数据对比!$U$2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[3]月度数据对比!$U$3:$U$14</c:f>
              <c:numCache>
                <c:formatCode>General</c:formatCode>
                <c:ptCount val="12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0.2</c:v>
                </c:pt>
                <c:pt idx="5">
                  <c:v>0.24</c:v>
                </c:pt>
                <c:pt idx="6">
                  <c:v>0.2</c:v>
                </c:pt>
                <c:pt idx="7">
                  <c:v>0.1</c:v>
                </c:pt>
                <c:pt idx="8">
                  <c:v>0.15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</c:numCache>
            </c:numRef>
          </c:val>
        </c:ser>
        <c:ser>
          <c:idx val="7"/>
          <c:order val="7"/>
          <c:tx>
            <c:strRef>
              <c:f>[3]月度数据对比!$V$2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[3]月度数据对比!$N$3:$N$14</c:f>
              <c:numCache>
                <c:formatCode>General</c:formatCode>
                <c:ptCount val="12"/>
              </c:numCache>
            </c:numRef>
          </c:cat>
          <c:val>
            <c:numRef>
              <c:f>[3]月度数据对比!$V$3:$V$14</c:f>
              <c:numCache>
                <c:formatCode>General</c:formatCode>
                <c:ptCount val="12"/>
                <c:pt idx="0">
                  <c:v>0.24</c:v>
                </c:pt>
                <c:pt idx="1">
                  <c:v>0.194</c:v>
                </c:pt>
                <c:pt idx="2">
                  <c:v>0.171</c:v>
                </c:pt>
                <c:pt idx="3">
                  <c:v>0.009</c:v>
                </c:pt>
                <c:pt idx="4">
                  <c:v>0</c:v>
                </c:pt>
                <c:pt idx="5">
                  <c:v>0.15</c:v>
                </c:pt>
                <c:pt idx="6">
                  <c:v>0.185</c:v>
                </c:pt>
                <c:pt idx="7">
                  <c:v>0.1</c:v>
                </c:pt>
                <c:pt idx="8">
                  <c:v>0.1</c:v>
                </c:pt>
                <c:pt idx="9">
                  <c:v>0.002</c:v>
                </c:pt>
                <c:pt idx="10">
                  <c:v>0.15</c:v>
                </c:pt>
                <c:pt idx="11">
                  <c:v>0.15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3"/>
        <c:overlap val="-89"/>
        <c:axId val="570350695"/>
        <c:axId val="852188929"/>
      </c:barChart>
      <c:catAx>
        <c:axId val="570350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52188929"/>
        <c:crosses val="autoZero"/>
        <c:auto val="1"/>
        <c:lblAlgn val="ctr"/>
        <c:lblOffset val="100"/>
        <c:noMultiLvlLbl val="0"/>
      </c:catAx>
      <c:valAx>
        <c:axId val="85218892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7035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21ed26-295e-4077-9698-31e07db6f44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080" b="1"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每月总线索对比</a:t>
            </a:r>
            <a:endParaRPr sz="108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2915192957636"/>
          <c:y val="0.186779275621244"/>
          <c:w val="0.965416961408473"/>
          <c:h val="0.730615559525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[3]月度数据对比!$B$19</c:f>
              <c:strCache>
                <c:ptCount val="1"/>
                <c:pt idx="0">
                  <c:v>每月总线索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0943173779768922"/>
                  <c:y val="0.0263115153483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[3]月度数据对比!$B$20:$B$31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[3]月度数据对比!$C$19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[3]月度数据对比!$C$20:$C$31</c:f>
              <c:numCache>
                <c:formatCode>General</c:formatCode>
                <c:ptCount val="12"/>
                <c:pt idx="0">
                  <c:v>0</c:v>
                </c:pt>
                <c:pt idx="1">
                  <c:v>2549</c:v>
                </c:pt>
                <c:pt idx="2">
                  <c:v>1260</c:v>
                </c:pt>
                <c:pt idx="3">
                  <c:v>369</c:v>
                </c:pt>
                <c:pt idx="4">
                  <c:v>782</c:v>
                </c:pt>
                <c:pt idx="5">
                  <c:v>15</c:v>
                </c:pt>
                <c:pt idx="6">
                  <c:v>853</c:v>
                </c:pt>
                <c:pt idx="7">
                  <c:v>396</c:v>
                </c:pt>
                <c:pt idx="8">
                  <c:v>364</c:v>
                </c:pt>
                <c:pt idx="9">
                  <c:v>417</c:v>
                </c:pt>
                <c:pt idx="10">
                  <c:v>486</c:v>
                </c:pt>
              </c:numCache>
            </c:numRef>
          </c:val>
        </c:ser>
        <c:ser>
          <c:idx val="2"/>
          <c:order val="2"/>
          <c:tx>
            <c:strRef>
              <c:f>[3]月度数据对比!$D$19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[3]月度数据对比!$D$20:$D$31</c:f>
              <c:numCache>
                <c:formatCode>General</c:formatCode>
                <c:ptCount val="12"/>
                <c:pt idx="0">
                  <c:v>0</c:v>
                </c:pt>
                <c:pt idx="1">
                  <c:v>1396</c:v>
                </c:pt>
                <c:pt idx="2">
                  <c:v>635</c:v>
                </c:pt>
                <c:pt idx="3">
                  <c:v>190</c:v>
                </c:pt>
                <c:pt idx="4">
                  <c:v>632</c:v>
                </c:pt>
                <c:pt idx="5">
                  <c:v>32</c:v>
                </c:pt>
                <c:pt idx="6">
                  <c:v>605</c:v>
                </c:pt>
                <c:pt idx="7">
                  <c:v>527</c:v>
                </c:pt>
                <c:pt idx="8">
                  <c:v>198</c:v>
                </c:pt>
                <c:pt idx="9">
                  <c:v>268</c:v>
                </c:pt>
                <c:pt idx="10">
                  <c:v>451</c:v>
                </c:pt>
              </c:numCache>
            </c:numRef>
          </c:val>
        </c:ser>
        <c:ser>
          <c:idx val="3"/>
          <c:order val="3"/>
          <c:tx>
            <c:strRef>
              <c:f>[3]月度数据对比!$E$19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[3]月度数据对比!$E$20:$E$31</c:f>
              <c:numCache>
                <c:formatCode>General</c:formatCode>
                <c:ptCount val="12"/>
                <c:pt idx="0">
                  <c:v>0</c:v>
                </c:pt>
                <c:pt idx="1">
                  <c:v>1992</c:v>
                </c:pt>
                <c:pt idx="2">
                  <c:v>754</c:v>
                </c:pt>
                <c:pt idx="3">
                  <c:v>608</c:v>
                </c:pt>
                <c:pt idx="4">
                  <c:v>635</c:v>
                </c:pt>
                <c:pt idx="5">
                  <c:v>429</c:v>
                </c:pt>
                <c:pt idx="6">
                  <c:v>520</c:v>
                </c:pt>
                <c:pt idx="7">
                  <c:v>615</c:v>
                </c:pt>
                <c:pt idx="8">
                  <c:v>247</c:v>
                </c:pt>
                <c:pt idx="9">
                  <c:v>333</c:v>
                </c:pt>
                <c:pt idx="10">
                  <c:v>170</c:v>
                </c:pt>
                <c:pt idx="11">
                  <c:v>655</c:v>
                </c:pt>
              </c:numCache>
            </c:numRef>
          </c:val>
        </c:ser>
        <c:ser>
          <c:idx val="4"/>
          <c:order val="4"/>
          <c:tx>
            <c:strRef>
              <c:f>[3]月度数据对比!$F$19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[3]月度数据对比!$F$20:$F$31</c:f>
              <c:numCache>
                <c:formatCode>General</c:formatCode>
                <c:ptCount val="12"/>
                <c:pt idx="0">
                  <c:v>0</c:v>
                </c:pt>
                <c:pt idx="1">
                  <c:v>775</c:v>
                </c:pt>
                <c:pt idx="2">
                  <c:v>680</c:v>
                </c:pt>
                <c:pt idx="3">
                  <c:v>548</c:v>
                </c:pt>
                <c:pt idx="4">
                  <c:v>570</c:v>
                </c:pt>
                <c:pt idx="5">
                  <c:v>147</c:v>
                </c:pt>
                <c:pt idx="6">
                  <c:v>432</c:v>
                </c:pt>
                <c:pt idx="7">
                  <c:v>721</c:v>
                </c:pt>
                <c:pt idx="8">
                  <c:v>305</c:v>
                </c:pt>
                <c:pt idx="9">
                  <c:v>419</c:v>
                </c:pt>
                <c:pt idx="10">
                  <c:v>104</c:v>
                </c:pt>
                <c:pt idx="11">
                  <c:v>500</c:v>
                </c:pt>
              </c:numCache>
            </c:numRef>
          </c:val>
        </c:ser>
        <c:ser>
          <c:idx val="5"/>
          <c:order val="5"/>
          <c:tx>
            <c:strRef>
              <c:f>[3]月度数据对比!$G$19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[3]月度数据对比!$G$20:$G$31</c:f>
              <c:numCache>
                <c:formatCode>General</c:formatCode>
                <c:ptCount val="12"/>
                <c:pt idx="0">
                  <c:v>0</c:v>
                </c:pt>
                <c:pt idx="1">
                  <c:v>1429</c:v>
                </c:pt>
                <c:pt idx="2">
                  <c:v>744</c:v>
                </c:pt>
                <c:pt idx="3">
                  <c:v>590</c:v>
                </c:pt>
                <c:pt idx="4">
                  <c:v>816</c:v>
                </c:pt>
                <c:pt idx="5">
                  <c:v>369</c:v>
                </c:pt>
                <c:pt idx="6">
                  <c:v>401</c:v>
                </c:pt>
                <c:pt idx="7">
                  <c:v>655</c:v>
                </c:pt>
                <c:pt idx="8">
                  <c:v>425</c:v>
                </c:pt>
                <c:pt idx="9">
                  <c:v>246</c:v>
                </c:pt>
                <c:pt idx="10">
                  <c:v>161</c:v>
                </c:pt>
                <c:pt idx="11">
                  <c:v>533</c:v>
                </c:pt>
              </c:numCache>
            </c:numRef>
          </c:val>
        </c:ser>
        <c:ser>
          <c:idx val="6"/>
          <c:order val="6"/>
          <c:tx>
            <c:strRef>
              <c:f>[3]月度数据对比!$H$19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[3]月度数据对比!$H$20:$H$31</c:f>
              <c:numCache>
                <c:formatCode>General</c:formatCode>
                <c:ptCount val="12"/>
                <c:pt idx="0">
                  <c:v>0</c:v>
                </c:pt>
                <c:pt idx="1">
                  <c:v>1561</c:v>
                </c:pt>
                <c:pt idx="2">
                  <c:v>930</c:v>
                </c:pt>
                <c:pt idx="3">
                  <c:v>565</c:v>
                </c:pt>
                <c:pt idx="4">
                  <c:v>641</c:v>
                </c:pt>
                <c:pt idx="5">
                  <c:v>536</c:v>
                </c:pt>
                <c:pt idx="6">
                  <c:v>514</c:v>
                </c:pt>
                <c:pt idx="7">
                  <c:v>653</c:v>
                </c:pt>
                <c:pt idx="8">
                  <c:v>499</c:v>
                </c:pt>
                <c:pt idx="9">
                  <c:v>250</c:v>
                </c:pt>
                <c:pt idx="10">
                  <c:v>162</c:v>
                </c:pt>
                <c:pt idx="11">
                  <c:v>338</c:v>
                </c:pt>
              </c:numCache>
            </c:numRef>
          </c:val>
        </c:ser>
        <c:ser>
          <c:idx val="7"/>
          <c:order val="7"/>
          <c:tx>
            <c:strRef>
              <c:f>[3]月度数据对比!$I$19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[3]月度数据对比!$A$20:$A$31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[3]月度数据对比!$I$20:$I$31</c:f>
              <c:numCache>
                <c:formatCode>General</c:formatCode>
                <c:ptCount val="12"/>
                <c:pt idx="0">
                  <c:v>0</c:v>
                </c:pt>
                <c:pt idx="1">
                  <c:v>1537</c:v>
                </c:pt>
                <c:pt idx="2">
                  <c:v>1040</c:v>
                </c:pt>
                <c:pt idx="3">
                  <c:v>654</c:v>
                </c:pt>
                <c:pt idx="4">
                  <c:v>830</c:v>
                </c:pt>
                <c:pt idx="5">
                  <c:v>462</c:v>
                </c:pt>
                <c:pt idx="6">
                  <c:v>525</c:v>
                </c:pt>
                <c:pt idx="7">
                  <c:v>870</c:v>
                </c:pt>
                <c:pt idx="8">
                  <c:v>682</c:v>
                </c:pt>
                <c:pt idx="9">
                  <c:v>387</c:v>
                </c:pt>
                <c:pt idx="10">
                  <c:v>166</c:v>
                </c:pt>
                <c:pt idx="11">
                  <c:v>523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74"/>
        <c:axId val="484699202"/>
        <c:axId val="48511119"/>
      </c:barChart>
      <c:catAx>
        <c:axId val="484699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511119"/>
        <c:crosses val="autoZero"/>
        <c:auto val="1"/>
        <c:lblAlgn val="ctr"/>
        <c:lblOffset val="100"/>
        <c:noMultiLvlLbl val="0"/>
      </c:catAx>
      <c:valAx>
        <c:axId val="4851111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4699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6453f2-4b3e-41ee-835a-aba3d96fb6d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每月到店数据对比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[3]月度数据对比!$O$19</c:f>
              <c:strCache>
                <c:ptCount val="1"/>
                <c:pt idx="0">
                  <c:v>每月总到店数据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[3]月度数据对比!$O$20:$O$31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[3]月度数据对比!$P$19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[3]月度数据对比!$P$20:$P$31</c:f>
              <c:numCache>
                <c:formatCode>General</c:formatCode>
                <c:ptCount val="12"/>
                <c:pt idx="0">
                  <c:v>0</c:v>
                </c:pt>
                <c:pt idx="1">
                  <c:v>136</c:v>
                </c:pt>
                <c:pt idx="2">
                  <c:v>77</c:v>
                </c:pt>
                <c:pt idx="3">
                  <c:v>18</c:v>
                </c:pt>
                <c:pt idx="4">
                  <c:v>32</c:v>
                </c:pt>
                <c:pt idx="5">
                  <c:v>3</c:v>
                </c:pt>
                <c:pt idx="6">
                  <c:v>45</c:v>
                </c:pt>
                <c:pt idx="7">
                  <c:v>25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</c:numCache>
            </c:numRef>
          </c:val>
        </c:ser>
        <c:ser>
          <c:idx val="2"/>
          <c:order val="2"/>
          <c:tx>
            <c:strRef>
              <c:f>[3]月度数据对比!$Q$19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[3]月度数据对比!$Q$20:$Q$31</c:f>
              <c:numCache>
                <c:formatCode>General</c:formatCode>
                <c:ptCount val="12"/>
                <c:pt idx="0">
                  <c:v>0</c:v>
                </c:pt>
                <c:pt idx="1">
                  <c:v>77</c:v>
                </c:pt>
                <c:pt idx="2">
                  <c:v>34</c:v>
                </c:pt>
                <c:pt idx="3">
                  <c:v>7</c:v>
                </c:pt>
                <c:pt idx="4">
                  <c:v>30</c:v>
                </c:pt>
                <c:pt idx="5">
                  <c:v>11</c:v>
                </c:pt>
                <c:pt idx="6">
                  <c:v>45</c:v>
                </c:pt>
                <c:pt idx="7">
                  <c:v>32</c:v>
                </c:pt>
                <c:pt idx="8">
                  <c:v>14</c:v>
                </c:pt>
                <c:pt idx="9">
                  <c:v>15</c:v>
                </c:pt>
                <c:pt idx="10">
                  <c:v>21</c:v>
                </c:pt>
              </c:numCache>
            </c:numRef>
          </c:val>
        </c:ser>
        <c:ser>
          <c:idx val="3"/>
          <c:order val="3"/>
          <c:tx>
            <c:strRef>
              <c:f>[3]月度数据对比!$R$19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[3]月度数据对比!$R$20:$R$31</c:f>
              <c:numCache>
                <c:formatCode>General</c:formatCode>
                <c:ptCount val="12"/>
                <c:pt idx="0">
                  <c:v>0</c:v>
                </c:pt>
                <c:pt idx="1">
                  <c:v>113</c:v>
                </c:pt>
                <c:pt idx="2">
                  <c:v>45</c:v>
                </c:pt>
                <c:pt idx="3">
                  <c:v>42</c:v>
                </c:pt>
                <c:pt idx="4">
                  <c:v>29</c:v>
                </c:pt>
                <c:pt idx="5">
                  <c:v>29</c:v>
                </c:pt>
                <c:pt idx="6">
                  <c:v>51</c:v>
                </c:pt>
                <c:pt idx="7">
                  <c:v>70</c:v>
                </c:pt>
                <c:pt idx="8">
                  <c:v>16</c:v>
                </c:pt>
                <c:pt idx="9">
                  <c:v>24</c:v>
                </c:pt>
                <c:pt idx="10">
                  <c:v>10</c:v>
                </c:pt>
                <c:pt idx="11">
                  <c:v>62</c:v>
                </c:pt>
              </c:numCache>
            </c:numRef>
          </c:val>
        </c:ser>
        <c:ser>
          <c:idx val="4"/>
          <c:order val="4"/>
          <c:tx>
            <c:strRef>
              <c:f>[3]月度数据对比!$S$19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[3]月度数据对比!$S$20:$S$31</c:f>
              <c:numCache>
                <c:formatCode>General</c:formatCode>
                <c:ptCount val="12"/>
                <c:pt idx="0">
                  <c:v>0</c:v>
                </c:pt>
                <c:pt idx="1">
                  <c:v>63</c:v>
                </c:pt>
                <c:pt idx="2">
                  <c:v>65</c:v>
                </c:pt>
                <c:pt idx="3">
                  <c:v>56</c:v>
                </c:pt>
                <c:pt idx="4">
                  <c:v>17</c:v>
                </c:pt>
                <c:pt idx="5">
                  <c:v>24</c:v>
                </c:pt>
                <c:pt idx="6">
                  <c:v>61</c:v>
                </c:pt>
                <c:pt idx="7">
                  <c:v>68</c:v>
                </c:pt>
                <c:pt idx="8">
                  <c:v>25</c:v>
                </c:pt>
                <c:pt idx="9">
                  <c:v>47</c:v>
                </c:pt>
                <c:pt idx="10">
                  <c:v>11</c:v>
                </c:pt>
                <c:pt idx="11">
                  <c:v>73</c:v>
                </c:pt>
              </c:numCache>
            </c:numRef>
          </c:val>
        </c:ser>
        <c:ser>
          <c:idx val="5"/>
          <c:order val="5"/>
          <c:tx>
            <c:strRef>
              <c:f>[3]月度数据对比!$T$19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[3]月度数据对比!$T$20:$T$31</c:f>
              <c:numCache>
                <c:formatCode>General</c:formatCode>
                <c:ptCount val="12"/>
                <c:pt idx="0">
                  <c:v>0</c:v>
                </c:pt>
                <c:pt idx="1">
                  <c:v>86</c:v>
                </c:pt>
                <c:pt idx="2">
                  <c:v>65</c:v>
                </c:pt>
                <c:pt idx="3">
                  <c:v>44</c:v>
                </c:pt>
                <c:pt idx="4">
                  <c:v>32</c:v>
                </c:pt>
                <c:pt idx="5">
                  <c:v>20</c:v>
                </c:pt>
                <c:pt idx="6">
                  <c:v>40</c:v>
                </c:pt>
                <c:pt idx="7">
                  <c:v>86</c:v>
                </c:pt>
                <c:pt idx="8">
                  <c:v>28</c:v>
                </c:pt>
                <c:pt idx="9">
                  <c:v>27</c:v>
                </c:pt>
                <c:pt idx="10">
                  <c:v>34</c:v>
                </c:pt>
                <c:pt idx="11">
                  <c:v>80</c:v>
                </c:pt>
              </c:numCache>
            </c:numRef>
          </c:val>
        </c:ser>
        <c:ser>
          <c:idx val="6"/>
          <c:order val="6"/>
          <c:tx>
            <c:strRef>
              <c:f>[3]月度数据对比!$U$19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[3]月度数据对比!$U$20:$U$31</c:f>
              <c:numCache>
                <c:formatCode>General</c:formatCode>
                <c:ptCount val="12"/>
                <c:pt idx="0">
                  <c:v>0</c:v>
                </c:pt>
                <c:pt idx="1">
                  <c:v>65</c:v>
                </c:pt>
                <c:pt idx="2">
                  <c:v>67</c:v>
                </c:pt>
                <c:pt idx="3">
                  <c:v>34</c:v>
                </c:pt>
                <c:pt idx="4">
                  <c:v>24</c:v>
                </c:pt>
                <c:pt idx="5">
                  <c:v>13</c:v>
                </c:pt>
                <c:pt idx="6">
                  <c:v>89</c:v>
                </c:pt>
                <c:pt idx="7">
                  <c:v>107</c:v>
                </c:pt>
                <c:pt idx="8">
                  <c:v>37</c:v>
                </c:pt>
                <c:pt idx="9">
                  <c:v>26</c:v>
                </c:pt>
                <c:pt idx="10">
                  <c:v>24</c:v>
                </c:pt>
                <c:pt idx="11">
                  <c:v>43</c:v>
                </c:pt>
              </c:numCache>
            </c:numRef>
          </c:val>
        </c:ser>
        <c:ser>
          <c:idx val="7"/>
          <c:order val="7"/>
          <c:tx>
            <c:strRef>
              <c:f>[3]月度数据对比!$V$19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[3]月度数据对比!$N$20:$N$31</c:f>
              <c:numCache>
                <c:formatCode>General</c:formatCode>
                <c:ptCount val="12"/>
              </c:numCache>
            </c:numRef>
          </c:cat>
          <c:val>
            <c:numRef>
              <c:f>[3]月度数据对比!$V$20:$V$31</c:f>
              <c:numCache>
                <c:formatCode>General</c:formatCode>
                <c:ptCount val="12"/>
                <c:pt idx="0">
                  <c:v>0</c:v>
                </c:pt>
                <c:pt idx="1">
                  <c:v>69</c:v>
                </c:pt>
                <c:pt idx="2">
                  <c:v>79</c:v>
                </c:pt>
                <c:pt idx="3">
                  <c:v>60</c:v>
                </c:pt>
                <c:pt idx="4">
                  <c:v>51</c:v>
                </c:pt>
                <c:pt idx="5">
                  <c:v>4</c:v>
                </c:pt>
                <c:pt idx="6">
                  <c:v>89</c:v>
                </c:pt>
                <c:pt idx="7">
                  <c:v>108</c:v>
                </c:pt>
                <c:pt idx="8">
                  <c:v>19</c:v>
                </c:pt>
                <c:pt idx="9">
                  <c:v>33</c:v>
                </c:pt>
                <c:pt idx="10">
                  <c:v>20</c:v>
                </c:pt>
                <c:pt idx="11">
                  <c:v>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81"/>
        <c:axId val="624543313"/>
        <c:axId val="129019997"/>
      </c:barChart>
      <c:catAx>
        <c:axId val="6245433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29019997"/>
        <c:crosses val="autoZero"/>
        <c:auto val="1"/>
        <c:lblAlgn val="ctr"/>
        <c:lblOffset val="100"/>
        <c:noMultiLvlLbl val="0"/>
      </c:catAx>
      <c:valAx>
        <c:axId val="12901999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24543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bd4c30-ff84-4ce0-b3b5-eef01db6b7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每月付费流线索数对比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[3]月度数据对比!$B$34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[3]月度数据对比!$B$35:$B$46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[3]月度数据对比!$C$34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[3]月度数据对比!$C$35:$C$46</c:f>
              <c:numCache>
                <c:formatCode>General</c:formatCode>
                <c:ptCount val="12"/>
                <c:pt idx="1">
                  <c:v>0</c:v>
                </c:pt>
                <c:pt idx="2">
                  <c:v>1750</c:v>
                </c:pt>
                <c:pt idx="3">
                  <c:v>400</c:v>
                </c:pt>
                <c:pt idx="4">
                  <c:v>174</c:v>
                </c:pt>
                <c:pt idx="5">
                  <c:v>514</c:v>
                </c:pt>
                <c:pt idx="6">
                  <c:v>0</c:v>
                </c:pt>
                <c:pt idx="7">
                  <c:v>622</c:v>
                </c:pt>
                <c:pt idx="8">
                  <c:v>71</c:v>
                </c:pt>
                <c:pt idx="9">
                  <c:v>18</c:v>
                </c:pt>
                <c:pt idx="10">
                  <c:v>20</c:v>
                </c:pt>
                <c:pt idx="11">
                  <c:v>166</c:v>
                </c:pt>
              </c:numCache>
            </c:numRef>
          </c:val>
        </c:ser>
        <c:ser>
          <c:idx val="2"/>
          <c:order val="2"/>
          <c:tx>
            <c:strRef>
              <c:f>[3]月度数据对比!$D$34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[3]月度数据对比!$D$35:$D$46</c:f>
              <c:numCache>
                <c:formatCode>General</c:formatCode>
                <c:ptCount val="12"/>
                <c:pt idx="1">
                  <c:v>0</c:v>
                </c:pt>
                <c:pt idx="2">
                  <c:v>1011</c:v>
                </c:pt>
                <c:pt idx="3">
                  <c:v>297</c:v>
                </c:pt>
                <c:pt idx="4">
                  <c:v>154</c:v>
                </c:pt>
                <c:pt idx="5">
                  <c:v>542</c:v>
                </c:pt>
                <c:pt idx="6">
                  <c:v>23</c:v>
                </c:pt>
                <c:pt idx="7">
                  <c:v>461</c:v>
                </c:pt>
                <c:pt idx="8">
                  <c:v>253</c:v>
                </c:pt>
                <c:pt idx="9">
                  <c:v>66</c:v>
                </c:pt>
                <c:pt idx="10">
                  <c:v>3</c:v>
                </c:pt>
                <c:pt idx="11">
                  <c:v>151</c:v>
                </c:pt>
              </c:numCache>
            </c:numRef>
          </c:val>
        </c:ser>
        <c:ser>
          <c:idx val="3"/>
          <c:order val="3"/>
          <c:tx>
            <c:strRef>
              <c:f>[3]月度数据对比!$E$34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[3]月度数据对比!$E$35:$E$46</c:f>
              <c:numCache>
                <c:formatCode>General</c:formatCode>
                <c:ptCount val="12"/>
                <c:pt idx="1">
                  <c:v>0</c:v>
                </c:pt>
                <c:pt idx="2">
                  <c:v>1368</c:v>
                </c:pt>
                <c:pt idx="3">
                  <c:v>355</c:v>
                </c:pt>
                <c:pt idx="4">
                  <c:v>423</c:v>
                </c:pt>
                <c:pt idx="5">
                  <c:v>405</c:v>
                </c:pt>
                <c:pt idx="6">
                  <c:v>314</c:v>
                </c:pt>
                <c:pt idx="7">
                  <c:v>432</c:v>
                </c:pt>
                <c:pt idx="8">
                  <c:v>370</c:v>
                </c:pt>
                <c:pt idx="9">
                  <c:v>159</c:v>
                </c:pt>
                <c:pt idx="10">
                  <c:v>107</c:v>
                </c:pt>
                <c:pt idx="11">
                  <c:v>77</c:v>
                </c:pt>
              </c:numCache>
            </c:numRef>
          </c:val>
        </c:ser>
        <c:ser>
          <c:idx val="4"/>
          <c:order val="4"/>
          <c:tx>
            <c:strRef>
              <c:f>[3]月度数据对比!$F$34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[3]月度数据对比!$F$35:$F$46</c:f>
              <c:numCache>
                <c:formatCode>General</c:formatCode>
                <c:ptCount val="12"/>
                <c:pt idx="1">
                  <c:v>0</c:v>
                </c:pt>
                <c:pt idx="2">
                  <c:v>621</c:v>
                </c:pt>
                <c:pt idx="3">
                  <c:v>344</c:v>
                </c:pt>
                <c:pt idx="4">
                  <c:v>433</c:v>
                </c:pt>
                <c:pt idx="5">
                  <c:v>393</c:v>
                </c:pt>
                <c:pt idx="6">
                  <c:v>117</c:v>
                </c:pt>
                <c:pt idx="7">
                  <c:v>339</c:v>
                </c:pt>
                <c:pt idx="8">
                  <c:v>428</c:v>
                </c:pt>
                <c:pt idx="9">
                  <c:v>192</c:v>
                </c:pt>
                <c:pt idx="10">
                  <c:v>206</c:v>
                </c:pt>
                <c:pt idx="11">
                  <c:v>35</c:v>
                </c:pt>
              </c:numCache>
            </c:numRef>
          </c:val>
        </c:ser>
        <c:ser>
          <c:idx val="5"/>
          <c:order val="5"/>
          <c:tx>
            <c:strRef>
              <c:f>[3]月度数据对比!$G$34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[3]月度数据对比!$G$35:$G$46</c:f>
              <c:numCache>
                <c:formatCode>General</c:formatCode>
                <c:ptCount val="12"/>
                <c:pt idx="1">
                  <c:v>0</c:v>
                </c:pt>
                <c:pt idx="2">
                  <c:v>1172</c:v>
                </c:pt>
                <c:pt idx="3">
                  <c:v>299</c:v>
                </c:pt>
                <c:pt idx="4">
                  <c:v>552</c:v>
                </c:pt>
                <c:pt idx="5">
                  <c:v>615</c:v>
                </c:pt>
                <c:pt idx="6">
                  <c:v>263</c:v>
                </c:pt>
                <c:pt idx="7">
                  <c:v>305</c:v>
                </c:pt>
                <c:pt idx="8">
                  <c:v>460</c:v>
                </c:pt>
                <c:pt idx="9">
                  <c:v>232</c:v>
                </c:pt>
                <c:pt idx="10">
                  <c:v>206</c:v>
                </c:pt>
                <c:pt idx="11">
                  <c:v>99</c:v>
                </c:pt>
              </c:numCache>
            </c:numRef>
          </c:val>
        </c:ser>
        <c:ser>
          <c:idx val="6"/>
          <c:order val="6"/>
          <c:tx>
            <c:strRef>
              <c:f>[3]月度数据对比!$H$34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[3]月度数据对比!$H$35:$H$46</c:f>
              <c:numCache>
                <c:formatCode>General</c:formatCode>
                <c:ptCount val="12"/>
                <c:pt idx="1">
                  <c:v>0</c:v>
                </c:pt>
                <c:pt idx="2">
                  <c:v>1311</c:v>
                </c:pt>
                <c:pt idx="3">
                  <c:v>566</c:v>
                </c:pt>
                <c:pt idx="4">
                  <c:v>453</c:v>
                </c:pt>
                <c:pt idx="5">
                  <c:v>459</c:v>
                </c:pt>
                <c:pt idx="6">
                  <c:v>379</c:v>
                </c:pt>
                <c:pt idx="7">
                  <c:v>399</c:v>
                </c:pt>
                <c:pt idx="8">
                  <c:v>501</c:v>
                </c:pt>
                <c:pt idx="9">
                  <c:v>296</c:v>
                </c:pt>
                <c:pt idx="10">
                  <c:v>161</c:v>
                </c:pt>
                <c:pt idx="11">
                  <c:v>120</c:v>
                </c:pt>
              </c:numCache>
            </c:numRef>
          </c:val>
        </c:ser>
        <c:ser>
          <c:idx val="7"/>
          <c:order val="7"/>
          <c:tx>
            <c:strRef>
              <c:f>[3]月度数据对比!$I$34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[3]月度数据对比!$A$35:$A$46</c:f>
              <c:numCache>
                <c:formatCode>General</c:formatCode>
                <c:ptCount val="12"/>
              </c:numCache>
            </c:numRef>
          </c:cat>
          <c:val>
            <c:numRef>
              <c:f>[3]月度数据对比!$I$35:$I$46</c:f>
              <c:numCache>
                <c:formatCode>General</c:formatCode>
                <c:ptCount val="12"/>
                <c:pt idx="1">
                  <c:v>0</c:v>
                </c:pt>
                <c:pt idx="2">
                  <c:v>1149</c:v>
                </c:pt>
                <c:pt idx="3">
                  <c:v>692</c:v>
                </c:pt>
                <c:pt idx="4">
                  <c:v>499</c:v>
                </c:pt>
                <c:pt idx="5">
                  <c:v>690</c:v>
                </c:pt>
                <c:pt idx="6">
                  <c:v>398</c:v>
                </c:pt>
                <c:pt idx="7">
                  <c:v>409</c:v>
                </c:pt>
                <c:pt idx="8">
                  <c:v>709</c:v>
                </c:pt>
                <c:pt idx="9">
                  <c:v>374</c:v>
                </c:pt>
                <c:pt idx="10">
                  <c:v>145</c:v>
                </c:pt>
                <c:pt idx="11">
                  <c:v>111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每月总到店达成率比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[3]月度数据对比!#REF!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[3]月度数据对比!#REF!</c:f>
              <c:numCache>
                <c:ptCount val="0"/>
              </c:numCache>
            </c:numRef>
          </c:cat>
          <c:val>
            <c:numRef>
              <c:f>[3]月度数据对比!#REF!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[3]月度数据对比!#REF!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[3]月度数据对比!#REF!</c:f>
              <c:numCache>
                <c:ptCount val="0"/>
              </c:numCache>
            </c:numRef>
          </c:cat>
          <c:val>
            <c:numRef>
              <c:f>[3]月度数据对比!#REF!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[3]月度数据对比!#REF!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[3]月度数据对比!#REF!</c:f>
              <c:numCache>
                <c:ptCount val="0"/>
              </c:numCache>
            </c:numRef>
          </c:cat>
          <c:val>
            <c:numRef>
              <c:f>[3]月度数据对比!#REF!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[3]月度数据对比!#REF!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[3]月度数据对比!#REF!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[3]月度数据对比!#REF!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[3]月度数据对比!#REF!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[3]月度数据对比!#REF!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[3]月度数据对比!#REF!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[3]月度数据对比!#REF!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[3]月度数据对比!#REF!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[3]月度数据对比!#REF!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[3]月度数据对比!#REF!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每月订单对比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[2]月度数据对比!$B$1:$B$2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[2]月度数据对比!$B$3:$B$14</c:f>
              <c:numCache>
                <c:formatCode>General</c:formatCode>
                <c:ptCount val="12"/>
                <c:pt idx="0">
                  <c:v>52</c:v>
                </c:pt>
                <c:pt idx="1">
                  <c:v>20</c:v>
                </c:pt>
                <c:pt idx="2">
                  <c:v>4</c:v>
                </c:pt>
                <c:pt idx="3">
                  <c:v>17</c:v>
                </c:pt>
                <c:pt idx="4">
                  <c:v>0</c:v>
                </c:pt>
                <c:pt idx="5">
                  <c:v>11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</c:ser>
        <c:ser>
          <c:idx val="1"/>
          <c:order val="1"/>
          <c:tx>
            <c:strRef>
              <c:f>[2]月度数据对比!$C$1:$C$2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[2]月度数据对比!$C$3:$C$14</c:f>
              <c:numCache>
                <c:formatCode>General</c:formatCode>
                <c:ptCount val="12"/>
                <c:pt idx="0">
                  <c:v>24</c:v>
                </c:pt>
                <c:pt idx="1">
                  <c:v>9</c:v>
                </c:pt>
                <c:pt idx="2">
                  <c:v>3</c:v>
                </c:pt>
                <c:pt idx="3">
                  <c:v>13</c:v>
                </c:pt>
                <c:pt idx="4">
                  <c:v>0</c:v>
                </c:pt>
                <c:pt idx="5">
                  <c:v>5</c:v>
                </c:pt>
                <c:pt idx="6">
                  <c:v>13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</c:numCache>
            </c:numRef>
          </c:val>
        </c:ser>
        <c:ser>
          <c:idx val="2"/>
          <c:order val="2"/>
          <c:tx>
            <c:strRef>
              <c:f>[2]月度数据对比!$D$1:$D$2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[2]月度数据对比!$D$3:$D$14</c:f>
              <c:numCache>
                <c:formatCode>General</c:formatCode>
                <c:ptCount val="12"/>
                <c:pt idx="0">
                  <c:v>55</c:v>
                </c:pt>
                <c:pt idx="1">
                  <c:v>18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12</c:v>
                </c:pt>
              </c:numCache>
            </c:numRef>
          </c:val>
        </c:ser>
        <c:ser>
          <c:idx val="3"/>
          <c:order val="3"/>
          <c:tx>
            <c:strRef>
              <c:f>[2]月度数据对比!$E$1:$E$2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[2]月度数据对比!$E$3:$E$14</c:f>
              <c:numCache>
                <c:formatCode>General</c:formatCode>
                <c:ptCount val="12"/>
                <c:pt idx="0">
                  <c:v>37</c:v>
                </c:pt>
                <c:pt idx="1">
                  <c:v>20</c:v>
                </c:pt>
                <c:pt idx="2">
                  <c:v>16</c:v>
                </c:pt>
                <c:pt idx="3">
                  <c:v>12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13</c:v>
                </c:pt>
              </c:numCache>
            </c:numRef>
          </c:val>
        </c:ser>
        <c:ser>
          <c:idx val="4"/>
          <c:order val="4"/>
          <c:tx>
            <c:strRef>
              <c:f>[2]月度数据对比!$F$1:$F$2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[2]月度数据对比!$F$3:$F$14</c:f>
              <c:numCache>
                <c:formatCode>General</c:formatCode>
                <c:ptCount val="12"/>
                <c:pt idx="0">
                  <c:v>43</c:v>
                </c:pt>
                <c:pt idx="1">
                  <c:v>20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10</c:v>
                </c:pt>
                <c:pt idx="6">
                  <c:v>19</c:v>
                </c:pt>
                <c:pt idx="7">
                  <c:v>9</c:v>
                </c:pt>
                <c:pt idx="8">
                  <c:v>5</c:v>
                </c:pt>
                <c:pt idx="9">
                  <c:v>15</c:v>
                </c:pt>
                <c:pt idx="10">
                  <c:v>20</c:v>
                </c:pt>
                <c:pt idx="11">
                  <c:v>1</c:v>
                </c:pt>
              </c:numCache>
            </c:numRef>
          </c:val>
        </c:ser>
        <c:ser>
          <c:idx val="5"/>
          <c:order val="5"/>
          <c:tx>
            <c:strRef>
              <c:f>[2]月度数据对比!$G$1:$G$2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[2]月度数据对比!$G$3:$G$14</c:f>
              <c:numCache>
                <c:formatCode>General</c:formatCode>
                <c:ptCount val="12"/>
                <c:pt idx="0">
                  <c:v>28</c:v>
                </c:pt>
                <c:pt idx="1">
                  <c:v>13</c:v>
                </c:pt>
                <c:pt idx="2">
                  <c:v>12</c:v>
                </c:pt>
                <c:pt idx="3">
                  <c:v>9</c:v>
                </c:pt>
                <c:pt idx="4">
                  <c:v>6</c:v>
                </c:pt>
                <c:pt idx="5">
                  <c:v>22</c:v>
                </c:pt>
                <c:pt idx="6">
                  <c:v>21</c:v>
                </c:pt>
                <c:pt idx="7">
                  <c:v>14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</c:ser>
        <c:ser>
          <c:idx val="6"/>
          <c:order val="6"/>
          <c:tx>
            <c:strRef>
              <c:f>[2]月度数据对比!$H$1:$H$2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[2]月度数据对比!$H$3:$H$14</c:f>
              <c:numCache>
                <c:formatCode>General</c:formatCode>
                <c:ptCount val="12"/>
                <c:pt idx="0">
                  <c:v>30</c:v>
                </c:pt>
                <c:pt idx="1">
                  <c:v>19</c:v>
                </c:pt>
                <c:pt idx="2">
                  <c:v>20</c:v>
                </c:pt>
                <c:pt idx="3">
                  <c:v>14</c:v>
                </c:pt>
                <c:pt idx="4">
                  <c:v>3</c:v>
                </c:pt>
                <c:pt idx="5">
                  <c:v>12</c:v>
                </c:pt>
                <c:pt idx="6">
                  <c:v>23</c:v>
                </c:pt>
                <c:pt idx="7">
                  <c:v>12</c:v>
                </c:pt>
                <c:pt idx="8">
                  <c:v>7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</c:numCache>
            </c:numRef>
          </c:val>
        </c:ser>
        <c:ser>
          <c:idx val="7"/>
          <c:order val="7"/>
          <c:tx>
            <c:strRef>
              <c:f>[2]月度数据对比!$I$1:$I$2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[2]月度数据对比!$A$3:$A$14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[2]月度数据对比!$I$3:$I$14</c:f>
              <c:numCache>
                <c:formatCode>General</c:formatCode>
                <c:ptCount val="12"/>
                <c:pt idx="0">
                  <c:v>42</c:v>
                </c:pt>
                <c:pt idx="1">
                  <c:v>16</c:v>
                </c:pt>
                <c:pt idx="2">
                  <c:v>24</c:v>
                </c:pt>
                <c:pt idx="3">
                  <c:v>8</c:v>
                </c:pt>
                <c:pt idx="4">
                  <c:v>1</c:v>
                </c:pt>
                <c:pt idx="5">
                  <c:v>15</c:v>
                </c:pt>
                <c:pt idx="6">
                  <c:v>28</c:v>
                </c:pt>
                <c:pt idx="7">
                  <c:v>10</c:v>
                </c:pt>
                <c:pt idx="8">
                  <c:v>6</c:v>
                </c:pt>
                <c:pt idx="9">
                  <c:v>15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62"/>
        <c:axId val="362890113"/>
        <c:axId val="914149502"/>
      </c:barChart>
      <c:catAx>
        <c:axId val="3628901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14149502"/>
        <c:crosses val="autoZero"/>
        <c:auto val="1"/>
        <c:lblAlgn val="ctr"/>
        <c:lblOffset val="100"/>
        <c:noMultiLvlLbl val="0"/>
      </c:catAx>
      <c:valAx>
        <c:axId val="9141495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62890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6637b-dd23-4142-848e-cab6640afd7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每月新媒体订单占比</a:t>
            </a:r>
            <a:endParaRPr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8974845752254"/>
          <c:y val="0.0133774834437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[2]月度数据对比!$N$2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[2]月度数据对比!$N$3:$N$14</c:f>
              <c:numCache>
                <c:formatCode>General</c:formatCode>
                <c:ptCount val="12"/>
                <c:pt idx="0">
                  <c:v>0.25</c:v>
                </c:pt>
                <c:pt idx="1">
                  <c:v>0.162</c:v>
                </c:pt>
                <c:pt idx="2">
                  <c:v>0.07</c:v>
                </c:pt>
                <c:pt idx="3">
                  <c:v>0.153</c:v>
                </c:pt>
                <c:pt idx="4">
                  <c:v>0</c:v>
                </c:pt>
                <c:pt idx="5">
                  <c:v>0.133</c:v>
                </c:pt>
                <c:pt idx="6">
                  <c:v>0.2</c:v>
                </c:pt>
                <c:pt idx="7">
                  <c:v>0.07</c:v>
                </c:pt>
                <c:pt idx="8">
                  <c:v>0.26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[2]月度数据对比!$O$2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260334490375513"/>
                  <c:y val="-0.042066027689030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[2]月度数据对比!$O$3:$O$14</c:f>
              <c:numCache>
                <c:formatCode>General</c:formatCode>
                <c:ptCount val="12"/>
                <c:pt idx="0">
                  <c:v>0.205</c:v>
                </c:pt>
                <c:pt idx="1">
                  <c:v>0.128</c:v>
                </c:pt>
                <c:pt idx="3">
                  <c:v>0.135</c:v>
                </c:pt>
                <c:pt idx="5">
                  <c:v>0.033</c:v>
                </c:pt>
                <c:pt idx="6">
                  <c:v>0.23</c:v>
                </c:pt>
                <c:pt idx="7">
                  <c:v>0.15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</c:ser>
        <c:ser>
          <c:idx val="2"/>
          <c:order val="2"/>
          <c:tx>
            <c:strRef>
              <c:f>[2]月度数据对比!$P$2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-0.00188427416189056"/>
                  <c:y val="0.01728004221079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[2]月度数据对比!$P$3:$P$14</c:f>
              <c:numCache>
                <c:formatCode>General</c:formatCode>
                <c:ptCount val="12"/>
                <c:pt idx="0">
                  <c:v>0.21</c:v>
                </c:pt>
                <c:pt idx="1">
                  <c:v>0.25</c:v>
                </c:pt>
                <c:pt idx="2">
                  <c:v>0.2</c:v>
                </c:pt>
                <c:pt idx="3">
                  <c:v>0.143</c:v>
                </c:pt>
                <c:pt idx="4">
                  <c:v>0.18</c:v>
                </c:pt>
                <c:pt idx="5">
                  <c:v>0.175</c:v>
                </c:pt>
                <c:pt idx="6">
                  <c:v>0.1</c:v>
                </c:pt>
                <c:pt idx="7">
                  <c:v>0.09</c:v>
                </c:pt>
                <c:pt idx="8">
                  <c:v>0.117</c:v>
                </c:pt>
                <c:pt idx="9">
                  <c:v>0.05</c:v>
                </c:pt>
                <c:pt idx="10">
                  <c:v>0.2</c:v>
                </c:pt>
              </c:numCache>
            </c:numRef>
          </c:val>
        </c:ser>
        <c:ser>
          <c:idx val="3"/>
          <c:order val="3"/>
          <c:tx>
            <c:strRef>
              <c:f>[2]月度数据对比!$Q$2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0.00840072230509539"/>
                  <c:y val="-0.044057512201556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[2]月度数据对比!$Q$3:$Q$14</c:f>
              <c:numCache>
                <c:formatCode>General</c:formatCode>
                <c:ptCount val="12"/>
                <c:pt idx="0">
                  <c:v>0.26</c:v>
                </c:pt>
                <c:pt idx="1">
                  <c:v>0.169</c:v>
                </c:pt>
                <c:pt idx="2">
                  <c:v>0.333</c:v>
                </c:pt>
                <c:pt idx="3">
                  <c:v>0.286</c:v>
                </c:pt>
                <c:pt idx="4">
                  <c:v>0.333</c:v>
                </c:pt>
                <c:pt idx="5">
                  <c:v>0.154</c:v>
                </c:pt>
                <c:pt idx="6">
                  <c:v>0.185</c:v>
                </c:pt>
                <c:pt idx="7">
                  <c:v>0.069</c:v>
                </c:pt>
                <c:pt idx="8">
                  <c:v>0.138</c:v>
                </c:pt>
                <c:pt idx="9">
                  <c:v>0.06</c:v>
                </c:pt>
                <c:pt idx="10">
                  <c:v>0.2</c:v>
                </c:pt>
              </c:numCache>
            </c:numRef>
          </c:val>
        </c:ser>
        <c:ser>
          <c:idx val="4"/>
          <c:order val="4"/>
          <c:tx>
            <c:strRef>
              <c:f>[2]月度数据对比!$R$2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[2]月度数据对比!$R$3:$R$14</c:f>
              <c:numCache>
                <c:formatCode>General</c:formatCode>
                <c:ptCount val="12"/>
                <c:pt idx="0">
                  <c:v>0.29</c:v>
                </c:pt>
                <c:pt idx="1">
                  <c:v>0.168</c:v>
                </c:pt>
                <c:pt idx="2">
                  <c:v>0.05</c:v>
                </c:pt>
                <c:pt idx="3">
                  <c:v>0.08</c:v>
                </c:pt>
                <c:pt idx="4">
                  <c:v>0.23</c:v>
                </c:pt>
                <c:pt idx="5">
                  <c:v>0.09</c:v>
                </c:pt>
                <c:pt idx="6">
                  <c:v>0.2</c:v>
                </c:pt>
                <c:pt idx="7">
                  <c:v>0.072</c:v>
                </c:pt>
                <c:pt idx="8">
                  <c:v>0.084</c:v>
                </c:pt>
                <c:pt idx="9">
                  <c:v>0.06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[2]月度数据对比!$S$2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[2]月度数据对比!$S$3:$S$14</c:f>
              <c:numCache>
                <c:formatCode>General</c:formatCode>
                <c:ptCount val="12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0.2</c:v>
                </c:pt>
                <c:pt idx="5">
                  <c:v>0.24</c:v>
                </c:pt>
                <c:pt idx="6">
                  <c:v>0.2</c:v>
                </c:pt>
                <c:pt idx="7">
                  <c:v>0.1</c:v>
                </c:pt>
                <c:pt idx="8">
                  <c:v>0.15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</c:numCache>
            </c:numRef>
          </c:val>
        </c:ser>
        <c:ser>
          <c:idx val="6"/>
          <c:order val="6"/>
          <c:tx>
            <c:strRef>
              <c:f>[2]月度数据对比!$T$2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[2]月度数据对比!$T$3:$T$14</c:f>
              <c:numCache>
                <c:formatCode>General</c:formatCode>
                <c:ptCount val="12"/>
                <c:pt idx="0">
                  <c:v>0.24</c:v>
                </c:pt>
                <c:pt idx="1">
                  <c:v>0.194</c:v>
                </c:pt>
                <c:pt idx="2">
                  <c:v>0.171</c:v>
                </c:pt>
                <c:pt idx="3">
                  <c:v>0.009</c:v>
                </c:pt>
                <c:pt idx="4">
                  <c:v>0</c:v>
                </c:pt>
                <c:pt idx="6">
                  <c:v>0.185</c:v>
                </c:pt>
                <c:pt idx="7">
                  <c:v>0.1</c:v>
                </c:pt>
                <c:pt idx="8">
                  <c:v>0.1</c:v>
                </c:pt>
                <c:pt idx="9">
                  <c:v>0.002</c:v>
                </c:pt>
                <c:pt idx="10">
                  <c:v>0.15</c:v>
                </c:pt>
                <c:pt idx="11">
                  <c:v>0.15</c:v>
                </c:pt>
              </c:numCache>
            </c:numRef>
          </c:val>
        </c:ser>
        <c:ser>
          <c:idx val="7"/>
          <c:order val="7"/>
          <c:tx>
            <c:strRef>
              <c:f>[2]月度数据对比!$U$2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[2]月度数据对比!$M$3:$M$14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[2]月度数据对比!$U$3:$U$14</c:f>
              <c:numCache>
                <c:formatCode>General</c:formatCode>
                <c:ptCount val="12"/>
                <c:pt idx="0">
                  <c:v>0.34</c:v>
                </c:pt>
                <c:pt idx="1">
                  <c:v>0.168</c:v>
                </c:pt>
                <c:pt idx="2">
                  <c:v>0.292</c:v>
                </c:pt>
                <c:pt idx="3">
                  <c:v>0.11</c:v>
                </c:pt>
                <c:pt idx="4">
                  <c:v>0</c:v>
                </c:pt>
                <c:pt idx="5">
                  <c:v>0.21</c:v>
                </c:pt>
                <c:pt idx="6">
                  <c:v>0.22</c:v>
                </c:pt>
                <c:pt idx="7">
                  <c:v>0.1</c:v>
                </c:pt>
                <c:pt idx="8">
                  <c:v>0.1</c:v>
                </c:pt>
                <c:pt idx="9">
                  <c:v>0.08</c:v>
                </c:pt>
                <c:pt idx="10">
                  <c:v>0.15</c:v>
                </c:pt>
                <c:pt idx="11">
                  <c:v>0.16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3"/>
        <c:overlap val="-89"/>
        <c:axId val="570350695"/>
        <c:axId val="852188929"/>
      </c:barChart>
      <c:catAx>
        <c:axId val="570350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52188929"/>
        <c:crosses val="autoZero"/>
        <c:auto val="1"/>
        <c:lblAlgn val="ctr"/>
        <c:lblOffset val="100"/>
        <c:noMultiLvlLbl val="0"/>
      </c:catAx>
      <c:valAx>
        <c:axId val="85218892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7035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21ed26-295e-4077-9698-31e07db6f44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080" b="1"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每月总线索对比</a:t>
            </a:r>
            <a:endParaRPr sz="108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2915192957636"/>
          <c:y val="0.186779275621244"/>
          <c:w val="0.965416961408473"/>
          <c:h val="0.730615559525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[2]月度数据对比!$B$20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.000943173779768922"/>
                  <c:y val="0.0263115153483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[2]月度数据对比!$B$21:$B$32</c:f>
              <c:numCache>
                <c:formatCode>General</c:formatCode>
                <c:ptCount val="12"/>
                <c:pt idx="0">
                  <c:v>2549</c:v>
                </c:pt>
                <c:pt idx="1">
                  <c:v>1260</c:v>
                </c:pt>
                <c:pt idx="2">
                  <c:v>369</c:v>
                </c:pt>
                <c:pt idx="3">
                  <c:v>782</c:v>
                </c:pt>
                <c:pt idx="4">
                  <c:v>15</c:v>
                </c:pt>
                <c:pt idx="5">
                  <c:v>853</c:v>
                </c:pt>
                <c:pt idx="6">
                  <c:v>396</c:v>
                </c:pt>
                <c:pt idx="7">
                  <c:v>364</c:v>
                </c:pt>
                <c:pt idx="8">
                  <c:v>417</c:v>
                </c:pt>
                <c:pt idx="9">
                  <c:v>1123</c:v>
                </c:pt>
              </c:numCache>
            </c:numRef>
          </c:val>
        </c:ser>
        <c:ser>
          <c:idx val="1"/>
          <c:order val="1"/>
          <c:tx>
            <c:strRef>
              <c:f>[2]月度数据对比!$C$20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[2]月度数据对比!$C$21:$C$32</c:f>
              <c:numCache>
                <c:formatCode>General</c:formatCode>
                <c:ptCount val="12"/>
                <c:pt idx="0">
                  <c:v>1396</c:v>
                </c:pt>
                <c:pt idx="1">
                  <c:v>635</c:v>
                </c:pt>
                <c:pt idx="2">
                  <c:v>190</c:v>
                </c:pt>
                <c:pt idx="3">
                  <c:v>632</c:v>
                </c:pt>
                <c:pt idx="4">
                  <c:v>32</c:v>
                </c:pt>
                <c:pt idx="5">
                  <c:v>605</c:v>
                </c:pt>
                <c:pt idx="6">
                  <c:v>527</c:v>
                </c:pt>
                <c:pt idx="7">
                  <c:v>198</c:v>
                </c:pt>
                <c:pt idx="8">
                  <c:v>268</c:v>
                </c:pt>
                <c:pt idx="9">
                  <c:v>451</c:v>
                </c:pt>
              </c:numCache>
            </c:numRef>
          </c:val>
        </c:ser>
        <c:ser>
          <c:idx val="2"/>
          <c:order val="2"/>
          <c:tx>
            <c:strRef>
              <c:f>[2]月度数据对比!$D$20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[2]月度数据对比!$D$21:$D$32</c:f>
              <c:numCache>
                <c:formatCode>General</c:formatCode>
                <c:ptCount val="12"/>
                <c:pt idx="0">
                  <c:v>1992</c:v>
                </c:pt>
                <c:pt idx="1">
                  <c:v>754</c:v>
                </c:pt>
                <c:pt idx="2">
                  <c:v>608</c:v>
                </c:pt>
                <c:pt idx="3">
                  <c:v>635</c:v>
                </c:pt>
                <c:pt idx="4">
                  <c:v>429</c:v>
                </c:pt>
                <c:pt idx="5">
                  <c:v>520</c:v>
                </c:pt>
                <c:pt idx="6">
                  <c:v>615</c:v>
                </c:pt>
                <c:pt idx="7">
                  <c:v>247</c:v>
                </c:pt>
                <c:pt idx="8">
                  <c:v>333</c:v>
                </c:pt>
                <c:pt idx="9">
                  <c:v>170</c:v>
                </c:pt>
                <c:pt idx="10">
                  <c:v>655</c:v>
                </c:pt>
              </c:numCache>
            </c:numRef>
          </c:val>
        </c:ser>
        <c:ser>
          <c:idx val="3"/>
          <c:order val="3"/>
          <c:tx>
            <c:strRef>
              <c:f>[2]月度数据对比!$E$20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[2]月度数据对比!$E$21:$E$32</c:f>
              <c:numCache>
                <c:formatCode>General</c:formatCode>
                <c:ptCount val="12"/>
                <c:pt idx="0">
                  <c:v>775</c:v>
                </c:pt>
                <c:pt idx="1">
                  <c:v>680</c:v>
                </c:pt>
                <c:pt idx="2">
                  <c:v>548</c:v>
                </c:pt>
                <c:pt idx="3">
                  <c:v>570</c:v>
                </c:pt>
                <c:pt idx="4">
                  <c:v>147</c:v>
                </c:pt>
                <c:pt idx="5">
                  <c:v>432</c:v>
                </c:pt>
                <c:pt idx="6">
                  <c:v>721</c:v>
                </c:pt>
                <c:pt idx="7">
                  <c:v>305</c:v>
                </c:pt>
                <c:pt idx="8">
                  <c:v>419</c:v>
                </c:pt>
                <c:pt idx="9">
                  <c:v>104</c:v>
                </c:pt>
                <c:pt idx="10">
                  <c:v>500</c:v>
                </c:pt>
              </c:numCache>
            </c:numRef>
          </c:val>
        </c:ser>
        <c:ser>
          <c:idx val="4"/>
          <c:order val="4"/>
          <c:tx>
            <c:strRef>
              <c:f>[2]月度数据对比!$F$20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[2]月度数据对比!$F$21:$F$32</c:f>
              <c:numCache>
                <c:formatCode>General</c:formatCode>
                <c:ptCount val="12"/>
                <c:pt idx="0">
                  <c:v>1429</c:v>
                </c:pt>
                <c:pt idx="1">
                  <c:v>744</c:v>
                </c:pt>
                <c:pt idx="2">
                  <c:v>590</c:v>
                </c:pt>
                <c:pt idx="3">
                  <c:v>816</c:v>
                </c:pt>
                <c:pt idx="4">
                  <c:v>369</c:v>
                </c:pt>
                <c:pt idx="5">
                  <c:v>401</c:v>
                </c:pt>
                <c:pt idx="6">
                  <c:v>655</c:v>
                </c:pt>
                <c:pt idx="7">
                  <c:v>425</c:v>
                </c:pt>
                <c:pt idx="8">
                  <c:v>246</c:v>
                </c:pt>
                <c:pt idx="9">
                  <c:v>161</c:v>
                </c:pt>
                <c:pt idx="10">
                  <c:v>533</c:v>
                </c:pt>
                <c:pt idx="11">
                  <c:v>610</c:v>
                </c:pt>
              </c:numCache>
            </c:numRef>
          </c:val>
        </c:ser>
        <c:ser>
          <c:idx val="5"/>
          <c:order val="5"/>
          <c:tx>
            <c:strRef>
              <c:f>[2]月度数据对比!$G$20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[2]月度数据对比!$G$21:$G$32</c:f>
              <c:numCache>
                <c:formatCode>General</c:formatCode>
                <c:ptCount val="12"/>
                <c:pt idx="0">
                  <c:v>1561</c:v>
                </c:pt>
                <c:pt idx="1">
                  <c:v>930</c:v>
                </c:pt>
                <c:pt idx="2">
                  <c:v>565</c:v>
                </c:pt>
                <c:pt idx="3">
                  <c:v>641</c:v>
                </c:pt>
                <c:pt idx="4">
                  <c:v>536</c:v>
                </c:pt>
                <c:pt idx="5">
                  <c:v>514</c:v>
                </c:pt>
                <c:pt idx="6">
                  <c:v>653</c:v>
                </c:pt>
                <c:pt idx="7">
                  <c:v>499</c:v>
                </c:pt>
                <c:pt idx="8">
                  <c:v>250</c:v>
                </c:pt>
                <c:pt idx="9">
                  <c:v>162</c:v>
                </c:pt>
                <c:pt idx="10">
                  <c:v>338</c:v>
                </c:pt>
                <c:pt idx="11">
                  <c:v>1197</c:v>
                </c:pt>
              </c:numCache>
            </c:numRef>
          </c:val>
        </c:ser>
        <c:ser>
          <c:idx val="6"/>
          <c:order val="6"/>
          <c:tx>
            <c:strRef>
              <c:f>[2]月度数据对比!$H$20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[2]月度数据对比!$H$21:$H$32</c:f>
              <c:numCache>
                <c:formatCode>General</c:formatCode>
                <c:ptCount val="12"/>
                <c:pt idx="0">
                  <c:v>1537</c:v>
                </c:pt>
                <c:pt idx="1">
                  <c:v>1040</c:v>
                </c:pt>
                <c:pt idx="2">
                  <c:v>654</c:v>
                </c:pt>
                <c:pt idx="3">
                  <c:v>830</c:v>
                </c:pt>
                <c:pt idx="4">
                  <c:v>462</c:v>
                </c:pt>
                <c:pt idx="5">
                  <c:v>525</c:v>
                </c:pt>
                <c:pt idx="6">
                  <c:v>870</c:v>
                </c:pt>
                <c:pt idx="7">
                  <c:v>682</c:v>
                </c:pt>
                <c:pt idx="8">
                  <c:v>387</c:v>
                </c:pt>
                <c:pt idx="9">
                  <c:v>166</c:v>
                </c:pt>
                <c:pt idx="10">
                  <c:v>523</c:v>
                </c:pt>
                <c:pt idx="11">
                  <c:v>1437</c:v>
                </c:pt>
              </c:numCache>
            </c:numRef>
          </c:val>
        </c:ser>
        <c:ser>
          <c:idx val="7"/>
          <c:order val="7"/>
          <c:tx>
            <c:strRef>
              <c:f>[2]月度数据对比!$I$20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[2]月度数据对比!$A$21:$A$32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[2]月度数据对比!$I$21:$I$32</c:f>
              <c:numCache>
                <c:formatCode>General</c:formatCode>
                <c:ptCount val="12"/>
                <c:pt idx="0">
                  <c:v>2391</c:v>
                </c:pt>
                <c:pt idx="1">
                  <c:v>1090</c:v>
                </c:pt>
                <c:pt idx="2">
                  <c:v>1034</c:v>
                </c:pt>
                <c:pt idx="3">
                  <c:v>697</c:v>
                </c:pt>
                <c:pt idx="4">
                  <c:v>212</c:v>
                </c:pt>
                <c:pt idx="5">
                  <c:v>453</c:v>
                </c:pt>
                <c:pt idx="6">
                  <c:v>756</c:v>
                </c:pt>
                <c:pt idx="7">
                  <c:v>648</c:v>
                </c:pt>
                <c:pt idx="8">
                  <c:v>355</c:v>
                </c:pt>
                <c:pt idx="9">
                  <c:v>177</c:v>
                </c:pt>
                <c:pt idx="10">
                  <c:v>311</c:v>
                </c:pt>
                <c:pt idx="11">
                  <c:v>767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74"/>
        <c:axId val="484699202"/>
        <c:axId val="48511119"/>
      </c:barChart>
      <c:catAx>
        <c:axId val="484699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511119"/>
        <c:crosses val="autoZero"/>
        <c:auto val="1"/>
        <c:lblAlgn val="ctr"/>
        <c:lblOffset val="100"/>
        <c:noMultiLvlLbl val="0"/>
      </c:catAx>
      <c:valAx>
        <c:axId val="4851111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84699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6453f2-4b3e-41ee-835a-aba3d96fb6d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每月到店数据对比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[2]月度数据对比!$N$20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[2]月度数据对比!$N$21:$N$32</c:f>
              <c:numCache>
                <c:formatCode>General</c:formatCode>
                <c:ptCount val="12"/>
                <c:pt idx="0">
                  <c:v>136</c:v>
                </c:pt>
                <c:pt idx="1">
                  <c:v>77</c:v>
                </c:pt>
                <c:pt idx="2">
                  <c:v>18</c:v>
                </c:pt>
                <c:pt idx="3">
                  <c:v>32</c:v>
                </c:pt>
                <c:pt idx="4">
                  <c:v>3</c:v>
                </c:pt>
                <c:pt idx="5">
                  <c:v>45</c:v>
                </c:pt>
                <c:pt idx="6">
                  <c:v>25</c:v>
                </c:pt>
                <c:pt idx="7">
                  <c:v>17</c:v>
                </c:pt>
                <c:pt idx="8">
                  <c:v>20</c:v>
                </c:pt>
                <c:pt idx="9">
                  <c:v>23</c:v>
                </c:pt>
              </c:numCache>
            </c:numRef>
          </c:val>
        </c:ser>
        <c:ser>
          <c:idx val="1"/>
          <c:order val="1"/>
          <c:tx>
            <c:strRef>
              <c:f>[2]月度数据对比!$O$20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[2]月度数据对比!$O$21:$O$32</c:f>
              <c:numCache>
                <c:formatCode>General</c:formatCode>
                <c:ptCount val="12"/>
                <c:pt idx="0">
                  <c:v>77</c:v>
                </c:pt>
                <c:pt idx="1">
                  <c:v>34</c:v>
                </c:pt>
                <c:pt idx="2">
                  <c:v>7</c:v>
                </c:pt>
                <c:pt idx="3">
                  <c:v>30</c:v>
                </c:pt>
                <c:pt idx="4">
                  <c:v>11</c:v>
                </c:pt>
                <c:pt idx="5">
                  <c:v>45</c:v>
                </c:pt>
                <c:pt idx="6">
                  <c:v>32</c:v>
                </c:pt>
                <c:pt idx="7">
                  <c:v>14</c:v>
                </c:pt>
                <c:pt idx="8">
                  <c:v>15</c:v>
                </c:pt>
                <c:pt idx="9">
                  <c:v>21</c:v>
                </c:pt>
              </c:numCache>
            </c:numRef>
          </c:val>
        </c:ser>
        <c:ser>
          <c:idx val="2"/>
          <c:order val="2"/>
          <c:tx>
            <c:strRef>
              <c:f>[2]月度数据对比!$P$20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[2]月度数据对比!$P$21:$P$32</c:f>
              <c:numCache>
                <c:formatCode>General</c:formatCode>
                <c:ptCount val="12"/>
                <c:pt idx="0">
                  <c:v>113</c:v>
                </c:pt>
                <c:pt idx="1">
                  <c:v>45</c:v>
                </c:pt>
                <c:pt idx="2">
                  <c:v>42</c:v>
                </c:pt>
                <c:pt idx="3">
                  <c:v>29</c:v>
                </c:pt>
                <c:pt idx="4">
                  <c:v>29</c:v>
                </c:pt>
                <c:pt idx="5">
                  <c:v>51</c:v>
                </c:pt>
                <c:pt idx="6">
                  <c:v>70</c:v>
                </c:pt>
                <c:pt idx="7">
                  <c:v>16</c:v>
                </c:pt>
                <c:pt idx="8">
                  <c:v>24</c:v>
                </c:pt>
                <c:pt idx="9">
                  <c:v>10</c:v>
                </c:pt>
                <c:pt idx="10">
                  <c:v>62</c:v>
                </c:pt>
              </c:numCache>
            </c:numRef>
          </c:val>
        </c:ser>
        <c:ser>
          <c:idx val="3"/>
          <c:order val="3"/>
          <c:tx>
            <c:strRef>
              <c:f>[2]月度数据对比!$Q$20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[2]月度数据对比!$Q$21:$Q$32</c:f>
              <c:numCache>
                <c:formatCode>General</c:formatCode>
                <c:ptCount val="12"/>
                <c:pt idx="0">
                  <c:v>63</c:v>
                </c:pt>
                <c:pt idx="1">
                  <c:v>65</c:v>
                </c:pt>
                <c:pt idx="2">
                  <c:v>56</c:v>
                </c:pt>
                <c:pt idx="3">
                  <c:v>17</c:v>
                </c:pt>
                <c:pt idx="4">
                  <c:v>24</c:v>
                </c:pt>
                <c:pt idx="5">
                  <c:v>61</c:v>
                </c:pt>
                <c:pt idx="6">
                  <c:v>68</c:v>
                </c:pt>
                <c:pt idx="7">
                  <c:v>25</c:v>
                </c:pt>
                <c:pt idx="8">
                  <c:v>47</c:v>
                </c:pt>
                <c:pt idx="9">
                  <c:v>11</c:v>
                </c:pt>
                <c:pt idx="10">
                  <c:v>73</c:v>
                </c:pt>
              </c:numCache>
            </c:numRef>
          </c:val>
        </c:ser>
        <c:ser>
          <c:idx val="4"/>
          <c:order val="4"/>
          <c:tx>
            <c:strRef>
              <c:f>[2]月度数据对比!$R$20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[2]月度数据对比!$R$21:$R$32</c:f>
              <c:numCache>
                <c:formatCode>General</c:formatCode>
                <c:ptCount val="12"/>
                <c:pt idx="0">
                  <c:v>86</c:v>
                </c:pt>
                <c:pt idx="1">
                  <c:v>65</c:v>
                </c:pt>
                <c:pt idx="2">
                  <c:v>44</c:v>
                </c:pt>
                <c:pt idx="3">
                  <c:v>32</c:v>
                </c:pt>
                <c:pt idx="4">
                  <c:v>20</c:v>
                </c:pt>
                <c:pt idx="5">
                  <c:v>40</c:v>
                </c:pt>
                <c:pt idx="6">
                  <c:v>86</c:v>
                </c:pt>
                <c:pt idx="7">
                  <c:v>28</c:v>
                </c:pt>
                <c:pt idx="8">
                  <c:v>27</c:v>
                </c:pt>
                <c:pt idx="9">
                  <c:v>34</c:v>
                </c:pt>
                <c:pt idx="10">
                  <c:v>80</c:v>
                </c:pt>
                <c:pt idx="11">
                  <c:v>17</c:v>
                </c:pt>
              </c:numCache>
            </c:numRef>
          </c:val>
        </c:ser>
        <c:ser>
          <c:idx val="5"/>
          <c:order val="5"/>
          <c:tx>
            <c:strRef>
              <c:f>[2]月度数据对比!$S$20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[2]月度数据对比!$S$21:$S$32</c:f>
              <c:numCache>
                <c:formatCode>General</c:formatCode>
                <c:ptCount val="12"/>
                <c:pt idx="0">
                  <c:v>65</c:v>
                </c:pt>
                <c:pt idx="1">
                  <c:v>67</c:v>
                </c:pt>
                <c:pt idx="2">
                  <c:v>34</c:v>
                </c:pt>
                <c:pt idx="3">
                  <c:v>24</c:v>
                </c:pt>
                <c:pt idx="4">
                  <c:v>13</c:v>
                </c:pt>
                <c:pt idx="5">
                  <c:v>89</c:v>
                </c:pt>
                <c:pt idx="6">
                  <c:v>107</c:v>
                </c:pt>
                <c:pt idx="7">
                  <c:v>37</c:v>
                </c:pt>
                <c:pt idx="8">
                  <c:v>26</c:v>
                </c:pt>
                <c:pt idx="9">
                  <c:v>24</c:v>
                </c:pt>
                <c:pt idx="10">
                  <c:v>43</c:v>
                </c:pt>
                <c:pt idx="11">
                  <c:v>39</c:v>
                </c:pt>
              </c:numCache>
            </c:numRef>
          </c:val>
        </c:ser>
        <c:ser>
          <c:idx val="6"/>
          <c:order val="6"/>
          <c:tx>
            <c:strRef>
              <c:f>[2]月度数据对比!$T$20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[2]月度数据对比!$T$21:$T$32</c:f>
              <c:numCache>
                <c:formatCode>General</c:formatCode>
                <c:ptCount val="12"/>
                <c:pt idx="0">
                  <c:v>69</c:v>
                </c:pt>
                <c:pt idx="1">
                  <c:v>79</c:v>
                </c:pt>
                <c:pt idx="2">
                  <c:v>60</c:v>
                </c:pt>
                <c:pt idx="3">
                  <c:v>51</c:v>
                </c:pt>
                <c:pt idx="4">
                  <c:v>4</c:v>
                </c:pt>
                <c:pt idx="5">
                  <c:v>89</c:v>
                </c:pt>
                <c:pt idx="6">
                  <c:v>108</c:v>
                </c:pt>
                <c:pt idx="7">
                  <c:v>19</c:v>
                </c:pt>
                <c:pt idx="8">
                  <c:v>33</c:v>
                </c:pt>
                <c:pt idx="9">
                  <c:v>20</c:v>
                </c:pt>
                <c:pt idx="10">
                  <c:v>74</c:v>
                </c:pt>
                <c:pt idx="11">
                  <c:v>34</c:v>
                </c:pt>
              </c:numCache>
            </c:numRef>
          </c:val>
        </c:ser>
        <c:ser>
          <c:idx val="7"/>
          <c:order val="7"/>
          <c:tx>
            <c:strRef>
              <c:f>[2]月度数据对比!$U$20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[2]月度数据对比!$M$21:$M$32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[2]月度数据对比!$U$21:$U$32</c:f>
              <c:numCache>
                <c:formatCode>General</c:formatCode>
                <c:ptCount val="12"/>
                <c:pt idx="0">
                  <c:v>76</c:v>
                </c:pt>
                <c:pt idx="1">
                  <c:v>47</c:v>
                </c:pt>
                <c:pt idx="2">
                  <c:v>46</c:v>
                </c:pt>
                <c:pt idx="3">
                  <c:v>20</c:v>
                </c:pt>
                <c:pt idx="4">
                  <c:v>1</c:v>
                </c:pt>
                <c:pt idx="5">
                  <c:v>111</c:v>
                </c:pt>
                <c:pt idx="6">
                  <c:v>73</c:v>
                </c:pt>
                <c:pt idx="7">
                  <c:v>26</c:v>
                </c:pt>
                <c:pt idx="8">
                  <c:v>22</c:v>
                </c:pt>
                <c:pt idx="9">
                  <c:v>31</c:v>
                </c:pt>
                <c:pt idx="10">
                  <c:v>50</c:v>
                </c:pt>
                <c:pt idx="11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81"/>
        <c:axId val="624543313"/>
        <c:axId val="129019997"/>
      </c:barChart>
      <c:catAx>
        <c:axId val="6245433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29019997"/>
        <c:crosses val="autoZero"/>
        <c:auto val="1"/>
        <c:lblAlgn val="ctr"/>
        <c:lblOffset val="100"/>
        <c:noMultiLvlLbl val="0"/>
      </c:catAx>
      <c:valAx>
        <c:axId val="12901999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24543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bd4c30-ff84-4ce0-b3b5-eef01db6b7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每月付费流线索数对比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[2]月度数据对比!$B$36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[2]月度数据对比!$B$37:$B$48</c:f>
              <c:numCache>
                <c:formatCode>General</c:formatCode>
                <c:ptCount val="12"/>
                <c:pt idx="0">
                  <c:v>1750</c:v>
                </c:pt>
                <c:pt idx="1">
                  <c:v>400</c:v>
                </c:pt>
                <c:pt idx="2">
                  <c:v>174</c:v>
                </c:pt>
                <c:pt idx="3">
                  <c:v>514</c:v>
                </c:pt>
                <c:pt idx="4">
                  <c:v>0</c:v>
                </c:pt>
                <c:pt idx="5">
                  <c:v>622</c:v>
                </c:pt>
                <c:pt idx="6">
                  <c:v>71</c:v>
                </c:pt>
                <c:pt idx="7">
                  <c:v>18</c:v>
                </c:pt>
                <c:pt idx="8">
                  <c:v>20</c:v>
                </c:pt>
                <c:pt idx="9">
                  <c:v>235</c:v>
                </c:pt>
              </c:numCache>
            </c:numRef>
          </c:val>
        </c:ser>
        <c:ser>
          <c:idx val="1"/>
          <c:order val="1"/>
          <c:tx>
            <c:strRef>
              <c:f>[2]月度数据对比!$C$36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[2]月度数据对比!$C$37:$C$48</c:f>
              <c:numCache>
                <c:formatCode>General</c:formatCode>
                <c:ptCount val="12"/>
                <c:pt idx="0">
                  <c:v>1011</c:v>
                </c:pt>
                <c:pt idx="1">
                  <c:v>297</c:v>
                </c:pt>
                <c:pt idx="2">
                  <c:v>154</c:v>
                </c:pt>
                <c:pt idx="3">
                  <c:v>542</c:v>
                </c:pt>
                <c:pt idx="4">
                  <c:v>23</c:v>
                </c:pt>
                <c:pt idx="5">
                  <c:v>461</c:v>
                </c:pt>
                <c:pt idx="6">
                  <c:v>253</c:v>
                </c:pt>
                <c:pt idx="7">
                  <c:v>66</c:v>
                </c:pt>
                <c:pt idx="8">
                  <c:v>3</c:v>
                </c:pt>
                <c:pt idx="9">
                  <c:v>151</c:v>
                </c:pt>
              </c:numCache>
            </c:numRef>
          </c:val>
        </c:ser>
        <c:ser>
          <c:idx val="2"/>
          <c:order val="2"/>
          <c:tx>
            <c:strRef>
              <c:f>[2]月度数据对比!$D$36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[2]月度数据对比!$D$37:$D$48</c:f>
              <c:numCache>
                <c:formatCode>General</c:formatCode>
                <c:ptCount val="12"/>
                <c:pt idx="0">
                  <c:v>1368</c:v>
                </c:pt>
                <c:pt idx="1">
                  <c:v>355</c:v>
                </c:pt>
                <c:pt idx="2">
                  <c:v>423</c:v>
                </c:pt>
                <c:pt idx="3">
                  <c:v>405</c:v>
                </c:pt>
                <c:pt idx="4">
                  <c:v>314</c:v>
                </c:pt>
                <c:pt idx="5">
                  <c:v>432</c:v>
                </c:pt>
                <c:pt idx="6">
                  <c:v>370</c:v>
                </c:pt>
                <c:pt idx="7">
                  <c:v>159</c:v>
                </c:pt>
                <c:pt idx="8">
                  <c:v>107</c:v>
                </c:pt>
                <c:pt idx="9">
                  <c:v>77</c:v>
                </c:pt>
                <c:pt idx="10">
                  <c:v>431</c:v>
                </c:pt>
              </c:numCache>
            </c:numRef>
          </c:val>
        </c:ser>
        <c:ser>
          <c:idx val="3"/>
          <c:order val="3"/>
          <c:tx>
            <c:strRef>
              <c:f>[2]月度数据对比!$E$36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[2]月度数据对比!$E$37:$E$48</c:f>
              <c:numCache>
                <c:formatCode>General</c:formatCode>
                <c:ptCount val="12"/>
                <c:pt idx="0">
                  <c:v>621</c:v>
                </c:pt>
                <c:pt idx="1">
                  <c:v>344</c:v>
                </c:pt>
                <c:pt idx="2">
                  <c:v>433</c:v>
                </c:pt>
                <c:pt idx="3">
                  <c:v>393</c:v>
                </c:pt>
                <c:pt idx="4">
                  <c:v>117</c:v>
                </c:pt>
                <c:pt idx="5">
                  <c:v>339</c:v>
                </c:pt>
                <c:pt idx="6">
                  <c:v>428</c:v>
                </c:pt>
                <c:pt idx="7">
                  <c:v>192</c:v>
                </c:pt>
                <c:pt idx="8">
                  <c:v>206</c:v>
                </c:pt>
                <c:pt idx="9">
                  <c:v>35</c:v>
                </c:pt>
                <c:pt idx="10">
                  <c:v>399</c:v>
                </c:pt>
              </c:numCache>
            </c:numRef>
          </c:val>
        </c:ser>
        <c:ser>
          <c:idx val="4"/>
          <c:order val="4"/>
          <c:tx>
            <c:strRef>
              <c:f>[2]月度数据对比!$F$36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[2]月度数据对比!$F$37:$F$48</c:f>
              <c:numCache>
                <c:formatCode>General</c:formatCode>
                <c:ptCount val="12"/>
                <c:pt idx="0">
                  <c:v>1172</c:v>
                </c:pt>
                <c:pt idx="1">
                  <c:v>299</c:v>
                </c:pt>
                <c:pt idx="2">
                  <c:v>552</c:v>
                </c:pt>
                <c:pt idx="3">
                  <c:v>615</c:v>
                </c:pt>
                <c:pt idx="4">
                  <c:v>263</c:v>
                </c:pt>
                <c:pt idx="5">
                  <c:v>305</c:v>
                </c:pt>
                <c:pt idx="6">
                  <c:v>460</c:v>
                </c:pt>
                <c:pt idx="7">
                  <c:v>232</c:v>
                </c:pt>
                <c:pt idx="8">
                  <c:v>206</c:v>
                </c:pt>
                <c:pt idx="9">
                  <c:v>99</c:v>
                </c:pt>
                <c:pt idx="10">
                  <c:v>460</c:v>
                </c:pt>
                <c:pt idx="11">
                  <c:v>211</c:v>
                </c:pt>
              </c:numCache>
            </c:numRef>
          </c:val>
        </c:ser>
        <c:ser>
          <c:idx val="5"/>
          <c:order val="5"/>
          <c:tx>
            <c:strRef>
              <c:f>[2]月度数据对比!$G$36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[2]月度数据对比!$G$37:$G$48</c:f>
              <c:numCache>
                <c:formatCode>General</c:formatCode>
                <c:ptCount val="12"/>
                <c:pt idx="0">
                  <c:v>1311</c:v>
                </c:pt>
                <c:pt idx="1">
                  <c:v>566</c:v>
                </c:pt>
                <c:pt idx="2">
                  <c:v>453</c:v>
                </c:pt>
                <c:pt idx="3">
                  <c:v>459</c:v>
                </c:pt>
                <c:pt idx="4">
                  <c:v>379</c:v>
                </c:pt>
                <c:pt idx="5">
                  <c:v>399</c:v>
                </c:pt>
                <c:pt idx="6">
                  <c:v>501</c:v>
                </c:pt>
                <c:pt idx="7">
                  <c:v>296</c:v>
                </c:pt>
                <c:pt idx="8">
                  <c:v>161</c:v>
                </c:pt>
                <c:pt idx="9">
                  <c:v>120</c:v>
                </c:pt>
                <c:pt idx="10">
                  <c:v>285</c:v>
                </c:pt>
                <c:pt idx="11">
                  <c:v>594</c:v>
                </c:pt>
              </c:numCache>
            </c:numRef>
          </c:val>
        </c:ser>
        <c:ser>
          <c:idx val="6"/>
          <c:order val="6"/>
          <c:tx>
            <c:strRef>
              <c:f>[2]月度数据对比!$H$36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[2]月度数据对比!$H$37:$H$48</c:f>
              <c:numCache>
                <c:formatCode>General</c:formatCode>
                <c:ptCount val="12"/>
                <c:pt idx="0">
                  <c:v>1149</c:v>
                </c:pt>
                <c:pt idx="1">
                  <c:v>692</c:v>
                </c:pt>
                <c:pt idx="2">
                  <c:v>499</c:v>
                </c:pt>
                <c:pt idx="3">
                  <c:v>690</c:v>
                </c:pt>
                <c:pt idx="4">
                  <c:v>398</c:v>
                </c:pt>
                <c:pt idx="5">
                  <c:v>409</c:v>
                </c:pt>
                <c:pt idx="6">
                  <c:v>709</c:v>
                </c:pt>
                <c:pt idx="7">
                  <c:v>374</c:v>
                </c:pt>
                <c:pt idx="8">
                  <c:v>145</c:v>
                </c:pt>
                <c:pt idx="9">
                  <c:v>111</c:v>
                </c:pt>
                <c:pt idx="10">
                  <c:v>433</c:v>
                </c:pt>
                <c:pt idx="11">
                  <c:v>721</c:v>
                </c:pt>
              </c:numCache>
            </c:numRef>
          </c:val>
        </c:ser>
        <c:ser>
          <c:idx val="7"/>
          <c:order val="7"/>
          <c:tx>
            <c:strRef>
              <c:f>[2]月度数据对比!$I$36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[2]月度数据对比!$A$37:$A$48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[2]月度数据对比!$I$37:$I$48</c:f>
              <c:numCache>
                <c:formatCode>General</c:formatCode>
                <c:ptCount val="12"/>
                <c:pt idx="0">
                  <c:v>2171</c:v>
                </c:pt>
                <c:pt idx="1">
                  <c:v>1066</c:v>
                </c:pt>
                <c:pt idx="2">
                  <c:v>955</c:v>
                </c:pt>
                <c:pt idx="3">
                  <c:v>625</c:v>
                </c:pt>
                <c:pt idx="4">
                  <c:v>206</c:v>
                </c:pt>
                <c:pt idx="5">
                  <c:v>334</c:v>
                </c:pt>
                <c:pt idx="6">
                  <c:v>607</c:v>
                </c:pt>
                <c:pt idx="7">
                  <c:v>418</c:v>
                </c:pt>
                <c:pt idx="8">
                  <c:v>145</c:v>
                </c:pt>
                <c:pt idx="9">
                  <c:v>125</c:v>
                </c:pt>
                <c:pt idx="10">
                  <c:v>256</c:v>
                </c:pt>
                <c:pt idx="11">
                  <c:v>495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ysClr val="windowText" lastClr="000000"/>
                </a:solidFill>
              </a:rPr>
              <a:t>每月总到店达成率比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[2]月度数据对比!$S$36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[2]月度数据对比!$M$37:$M$48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[2]月度数据对比!$S$37:$S$48</c:f>
              <c:numCache>
                <c:formatCode>General</c:formatCode>
                <c:ptCount val="12"/>
              </c:numCache>
            </c:numRef>
          </c:val>
        </c:ser>
        <c:ser>
          <c:idx val="6"/>
          <c:order val="6"/>
          <c:tx>
            <c:strRef>
              <c:f>[2]月度数据对比!$T$36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[2]月度数据对比!$M$37:$M$48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[2]月度数据对比!$T$37:$T$48</c:f>
              <c:numCache>
                <c:formatCode>General</c:formatCode>
                <c:ptCount val="12"/>
              </c:numCache>
            </c:numRef>
          </c:val>
        </c:ser>
        <c:ser>
          <c:idx val="7"/>
          <c:order val="7"/>
          <c:tx>
            <c:strRef>
              <c:f>[2]月度数据对比!$U$36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[2]月度数据对比!$M$37:$M$48</c:f>
              <c:strCache>
                <c:ptCount val="12"/>
                <c:pt idx="0">
                  <c:v>花都广本</c:v>
                </c:pt>
                <c:pt idx="1">
                  <c:v>清远广本</c:v>
                </c:pt>
                <c:pt idx="2">
                  <c:v>白云零跑</c:v>
                </c:pt>
                <c:pt idx="3">
                  <c:v>花都零跑</c:v>
                </c:pt>
                <c:pt idx="4">
                  <c:v>番禺零跑</c:v>
                </c:pt>
                <c:pt idx="5">
                  <c:v>河源零跑</c:v>
                </c:pt>
                <c:pt idx="6">
                  <c:v>汕头零跑</c:v>
                </c:pt>
                <c:pt idx="7">
                  <c:v>清远零跑</c:v>
                </c:pt>
                <c:pt idx="8">
                  <c:v>湛江零跑</c:v>
                </c:pt>
                <c:pt idx="9">
                  <c:v>江门大众</c:v>
                </c:pt>
                <c:pt idx="10">
                  <c:v>鑫海广本</c:v>
                </c:pt>
                <c:pt idx="11">
                  <c:v>花都传祺</c:v>
                </c:pt>
              </c:strCache>
            </c:strRef>
          </c:cat>
          <c:val>
            <c:numRef>
              <c:f>[2]月度数据对比!$U$37:$U$48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79"/>
        <c:axId val="669359599"/>
        <c:axId val="98912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[2]月度数据对比!$N$36</c15:sqref>
                        </c15:formulaRef>
                      </c:ext>
                    </c:extLst>
                    <c:strCache>
                      <c:ptCount val="1"/>
                      <c:pt idx="0">
                        <c:v>2月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[2]月度数据对比!$O$36</c15:sqref>
                        </c15:formulaRef>
                      </c:ext>
                    </c:extLst>
                    <c:strCache>
                      <c:ptCount val="1"/>
                      <c:pt idx="0">
                        <c:v>3月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[2]月度数据对比!$P$36</c15:sqref>
                        </c15:formulaRef>
                      </c:ext>
                    </c:extLst>
                    <c:strCache>
                      <c:ptCount val="1"/>
                      <c:pt idx="0">
                        <c:v>4月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[2]月度数据对比!$Q$36</c15:sqref>
                        </c15:formulaRef>
                      </c:ext>
                    </c:extLst>
                    <c:strCache>
                      <c:ptCount val="1"/>
                      <c:pt idx="0">
                        <c:v>5月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[2]月度数据对比!$R$36</c15:sqref>
                        </c15:formulaRef>
                      </c:ext>
                    </c:extLst>
                    <c:strCache>
                      <c:ptCount val="1"/>
                      <c:pt idx="0">
                        <c:v>6月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1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微软雅黑" panose="020B0503020204020204" pitchFamily="34" charset="-122"/>
                          <a:sym typeface="微软雅黑" panose="020B0503020204020204" pitchFamily="34" charset="-122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[2]月度数据对比!$M$37:$M$48</c15:sqref>
                        </c15:formulaRef>
                      </c:ext>
                    </c:extLst>
                    <c:strCache>
                      <c:ptCount val="12"/>
                      <c:pt idx="0">
                        <c:v>花都广本</c:v>
                      </c:pt>
                      <c:pt idx="1">
                        <c:v>清远广本</c:v>
                      </c:pt>
                      <c:pt idx="2">
                        <c:v>白云零跑</c:v>
                      </c:pt>
                      <c:pt idx="3">
                        <c:v>花都零跑</c:v>
                      </c:pt>
                      <c:pt idx="4">
                        <c:v>番禺零跑</c:v>
                      </c:pt>
                      <c:pt idx="5">
                        <c:v>河源零跑</c:v>
                      </c:pt>
                      <c:pt idx="6">
                        <c:v>汕头零跑</c:v>
                      </c:pt>
                      <c:pt idx="7">
                        <c:v>清远零跑</c:v>
                      </c:pt>
                      <c:pt idx="8">
                        <c:v>湛江零跑</c:v>
                      </c:pt>
                      <c:pt idx="9">
                        <c:v>江门大众</c:v>
                      </c:pt>
                      <c:pt idx="10">
                        <c:v>鑫海广本</c:v>
                      </c:pt>
                      <c:pt idx="11">
                        <c:v>花都传祺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{#N/A,#N/A,#N/A,#N/A,#N/A,#N/A,#N/A,#N/A,#N/A,#N/A,#N/A,#N/A}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6935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912864"/>
        <c:crosses val="autoZero"/>
        <c:auto val="1"/>
        <c:lblAlgn val="ctr"/>
        <c:lblOffset val="100"/>
        <c:noMultiLvlLbl val="0"/>
      </c:catAx>
      <c:valAx>
        <c:axId val="989128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93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d3f6e-790f-45c8-bded-5fa7aa7d86c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 b="1"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2.xml"/><Relationship Id="rId8" Type="http://schemas.openxmlformats.org/officeDocument/2006/relationships/chart" Target="../charts/chart11.xml"/><Relationship Id="rId7" Type="http://schemas.openxmlformats.org/officeDocument/2006/relationships/chart" Target="../charts/chart10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4" Type="http://schemas.openxmlformats.org/officeDocument/2006/relationships/chart" Target="../charts/chart27.xml"/><Relationship Id="rId23" Type="http://schemas.openxmlformats.org/officeDocument/2006/relationships/chart" Target="../charts/chart26.xml"/><Relationship Id="rId22" Type="http://schemas.openxmlformats.org/officeDocument/2006/relationships/chart" Target="../charts/chart25.xml"/><Relationship Id="rId21" Type="http://schemas.openxmlformats.org/officeDocument/2006/relationships/chart" Target="../charts/chart24.xml"/><Relationship Id="rId20" Type="http://schemas.openxmlformats.org/officeDocument/2006/relationships/chart" Target="../charts/chart23.xml"/><Relationship Id="rId2" Type="http://schemas.openxmlformats.org/officeDocument/2006/relationships/chart" Target="../charts/chart5.xml"/><Relationship Id="rId19" Type="http://schemas.openxmlformats.org/officeDocument/2006/relationships/chart" Target="../charts/chart22.xml"/><Relationship Id="rId18" Type="http://schemas.openxmlformats.org/officeDocument/2006/relationships/chart" Target="../charts/chart21.xml"/><Relationship Id="rId17" Type="http://schemas.openxmlformats.org/officeDocument/2006/relationships/chart" Target="../charts/chart20.xml"/><Relationship Id="rId16" Type="http://schemas.openxmlformats.org/officeDocument/2006/relationships/chart" Target="../charts/chart19.xml"/><Relationship Id="rId15" Type="http://schemas.openxmlformats.org/officeDocument/2006/relationships/chart" Target="../charts/chart18.xml"/><Relationship Id="rId14" Type="http://schemas.openxmlformats.org/officeDocument/2006/relationships/chart" Target="../charts/chart17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549275</xdr:colOff>
      <xdr:row>1</xdr:row>
      <xdr:rowOff>96520</xdr:rowOff>
    </xdr:from>
    <xdr:to>
      <xdr:col>24</xdr:col>
      <xdr:colOff>52705</xdr:colOff>
      <xdr:row>19</xdr:row>
      <xdr:rowOff>32385</xdr:rowOff>
    </xdr:to>
    <xdr:graphicFrame>
      <xdr:nvGraphicFramePr>
        <xdr:cNvPr id="2" name="图表 1"/>
        <xdr:cNvGraphicFramePr/>
      </xdr:nvGraphicFramePr>
      <xdr:xfrm>
        <a:off x="10879455" y="302895"/>
        <a:ext cx="8253730" cy="512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71120</xdr:colOff>
      <xdr:row>22</xdr:row>
      <xdr:rowOff>8255</xdr:rowOff>
    </xdr:from>
    <xdr:to>
      <xdr:col>22</xdr:col>
      <xdr:colOff>610870</xdr:colOff>
      <xdr:row>40</xdr:row>
      <xdr:rowOff>243840</xdr:rowOff>
    </xdr:to>
    <xdr:graphicFrame>
      <xdr:nvGraphicFramePr>
        <xdr:cNvPr id="3" name="图表 2"/>
        <xdr:cNvGraphicFramePr/>
      </xdr:nvGraphicFramePr>
      <xdr:xfrm>
        <a:off x="10401300" y="6243955"/>
        <a:ext cx="7943850" cy="5226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505460</xdr:colOff>
      <xdr:row>43</xdr:row>
      <xdr:rowOff>125730</xdr:rowOff>
    </xdr:from>
    <xdr:to>
      <xdr:col>22</xdr:col>
      <xdr:colOff>81915</xdr:colOff>
      <xdr:row>60</xdr:row>
      <xdr:rowOff>261620</xdr:rowOff>
    </xdr:to>
    <xdr:graphicFrame>
      <xdr:nvGraphicFramePr>
        <xdr:cNvPr id="4" name="图表 3"/>
        <xdr:cNvGraphicFramePr/>
      </xdr:nvGraphicFramePr>
      <xdr:xfrm>
        <a:off x="9489440" y="12190730"/>
        <a:ext cx="8326755" cy="4809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101600</xdr:colOff>
      <xdr:row>4</xdr:row>
      <xdr:rowOff>36195</xdr:rowOff>
    </xdr:from>
    <xdr:to>
      <xdr:col>60</xdr:col>
      <xdr:colOff>64135</xdr:colOff>
      <xdr:row>29</xdr:row>
      <xdr:rowOff>67945</xdr:rowOff>
    </xdr:to>
    <xdr:graphicFrame>
      <xdr:nvGraphicFramePr>
        <xdr:cNvPr id="9" name="图表 8" descr="7b0a202020202263686172745265734964223a202234363130333534220a7d0a"/>
        <xdr:cNvGraphicFramePr/>
      </xdr:nvGraphicFramePr>
      <xdr:xfrm>
        <a:off x="37486590" y="1140460"/>
        <a:ext cx="8134985" cy="5688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596265</xdr:colOff>
      <xdr:row>2</xdr:row>
      <xdr:rowOff>226695</xdr:rowOff>
    </xdr:from>
    <xdr:to>
      <xdr:col>73</xdr:col>
      <xdr:colOff>474980</xdr:colOff>
      <xdr:row>27</xdr:row>
      <xdr:rowOff>71755</xdr:rowOff>
    </xdr:to>
    <xdr:graphicFrame>
      <xdr:nvGraphicFramePr>
        <xdr:cNvPr id="17" name="图表 16" descr="7b0a202020202263686172745265734964223a202234363130333534220a7d0a"/>
        <xdr:cNvGraphicFramePr/>
      </xdr:nvGraphicFramePr>
      <xdr:xfrm>
        <a:off x="46153705" y="814070"/>
        <a:ext cx="8051165" cy="5600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190500</xdr:colOff>
      <xdr:row>51</xdr:row>
      <xdr:rowOff>0</xdr:rowOff>
    </xdr:from>
    <xdr:to>
      <xdr:col>50</xdr:col>
      <xdr:colOff>117475</xdr:colOff>
      <xdr:row>72</xdr:row>
      <xdr:rowOff>103505</xdr:rowOff>
    </xdr:to>
    <xdr:graphicFrame>
      <xdr:nvGraphicFramePr>
        <xdr:cNvPr id="18" name="图表 17" descr="7b0a202020202263686172745265734964223a202234363130333534220a7d0a"/>
        <xdr:cNvGraphicFramePr/>
      </xdr:nvGraphicFramePr>
      <xdr:xfrm>
        <a:off x="30570805" y="11847830"/>
        <a:ext cx="8817610" cy="4300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14605</xdr:colOff>
      <xdr:row>47</xdr:row>
      <xdr:rowOff>6985</xdr:rowOff>
    </xdr:from>
    <xdr:to>
      <xdr:col>64</xdr:col>
      <xdr:colOff>439420</xdr:colOff>
      <xdr:row>64</xdr:row>
      <xdr:rowOff>97790</xdr:rowOff>
    </xdr:to>
    <xdr:graphicFrame>
      <xdr:nvGraphicFramePr>
        <xdr:cNvPr id="19" name="图表 18" descr="7b0a202020202263686172745265734964223a202234363130333534220a7d0a"/>
        <xdr:cNvGraphicFramePr/>
      </xdr:nvGraphicFramePr>
      <xdr:xfrm>
        <a:off x="40542845" y="10788015"/>
        <a:ext cx="7968615" cy="3932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299720</xdr:colOff>
      <xdr:row>77</xdr:row>
      <xdr:rowOff>173990</xdr:rowOff>
    </xdr:from>
    <xdr:to>
      <xdr:col>16</xdr:col>
      <xdr:colOff>447040</xdr:colOff>
      <xdr:row>104</xdr:row>
      <xdr:rowOff>54610</xdr:rowOff>
    </xdr:to>
    <xdr:graphicFrame>
      <xdr:nvGraphicFramePr>
        <xdr:cNvPr id="20" name="图表 19" descr="7b0a202020202263686172745265734964223a202234363130333534220a7d0a"/>
        <xdr:cNvGraphicFramePr/>
      </xdr:nvGraphicFramePr>
      <xdr:xfrm>
        <a:off x="2980055" y="17108170"/>
        <a:ext cx="9565640" cy="468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111125</xdr:colOff>
      <xdr:row>55</xdr:row>
      <xdr:rowOff>36195</xdr:rowOff>
    </xdr:from>
    <xdr:to>
      <xdr:col>61</xdr:col>
      <xdr:colOff>220345</xdr:colOff>
      <xdr:row>86</xdr:row>
      <xdr:rowOff>86360</xdr:rowOff>
    </xdr:to>
    <xdr:graphicFrame>
      <xdr:nvGraphicFramePr>
        <xdr:cNvPr id="2" name="图表 1" descr="7b0a202020202263686172745265734964223a202234363130333534220a7d0a"/>
        <xdr:cNvGraphicFramePr/>
      </xdr:nvGraphicFramePr>
      <xdr:xfrm>
        <a:off x="34981515" y="12836525"/>
        <a:ext cx="11424920" cy="5784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101600</xdr:colOff>
      <xdr:row>4</xdr:row>
      <xdr:rowOff>36195</xdr:rowOff>
    </xdr:from>
    <xdr:to>
      <xdr:col>60</xdr:col>
      <xdr:colOff>64135</xdr:colOff>
      <xdr:row>29</xdr:row>
      <xdr:rowOff>209550</xdr:rowOff>
    </xdr:to>
    <xdr:graphicFrame>
      <xdr:nvGraphicFramePr>
        <xdr:cNvPr id="3" name="图表 2" descr="7b0a202020202263686172745265734964223a202234363130333534220a7d0a"/>
        <xdr:cNvGraphicFramePr/>
      </xdr:nvGraphicFramePr>
      <xdr:xfrm>
        <a:off x="37486590" y="1140460"/>
        <a:ext cx="8134985" cy="5830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60</xdr:col>
      <xdr:colOff>596265</xdr:colOff>
      <xdr:row>2</xdr:row>
      <xdr:rowOff>226695</xdr:rowOff>
    </xdr:from>
    <xdr:to>
      <xdr:col>73</xdr:col>
      <xdr:colOff>474980</xdr:colOff>
      <xdr:row>28</xdr:row>
      <xdr:rowOff>71755</xdr:rowOff>
    </xdr:to>
    <xdr:graphicFrame>
      <xdr:nvGraphicFramePr>
        <xdr:cNvPr id="4" name="图表 3" descr="7b0a202020202263686172745265734964223a202234363130333534220a7d0a"/>
        <xdr:cNvGraphicFramePr/>
      </xdr:nvGraphicFramePr>
      <xdr:xfrm>
        <a:off x="46153705" y="814070"/>
        <a:ext cx="8051165" cy="580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190500</xdr:colOff>
      <xdr:row>52</xdr:row>
      <xdr:rowOff>195580</xdr:rowOff>
    </xdr:from>
    <xdr:to>
      <xdr:col>50</xdr:col>
      <xdr:colOff>117475</xdr:colOff>
      <xdr:row>74</xdr:row>
      <xdr:rowOff>103505</xdr:rowOff>
    </xdr:to>
    <xdr:graphicFrame>
      <xdr:nvGraphicFramePr>
        <xdr:cNvPr id="5" name="图表 4" descr="7b0a202020202263686172745265734964223a202234363130333534220a7d0a"/>
        <xdr:cNvGraphicFramePr/>
      </xdr:nvGraphicFramePr>
      <xdr:xfrm>
        <a:off x="30570805" y="12310110"/>
        <a:ext cx="8817610" cy="4194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14605</xdr:colOff>
      <xdr:row>48</xdr:row>
      <xdr:rowOff>6985</xdr:rowOff>
    </xdr:from>
    <xdr:to>
      <xdr:col>64</xdr:col>
      <xdr:colOff>439420</xdr:colOff>
      <xdr:row>66</xdr:row>
      <xdr:rowOff>97790</xdr:rowOff>
    </xdr:to>
    <xdr:graphicFrame>
      <xdr:nvGraphicFramePr>
        <xdr:cNvPr id="6" name="图表 5" descr="7b0a202020202263686172745265734964223a202234363130333534220a7d0a"/>
        <xdr:cNvGraphicFramePr/>
      </xdr:nvGraphicFramePr>
      <xdr:xfrm>
        <a:off x="40542845" y="11054715"/>
        <a:ext cx="7968615" cy="4021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205740</xdr:colOff>
      <xdr:row>82</xdr:row>
      <xdr:rowOff>138430</xdr:rowOff>
    </xdr:from>
    <xdr:to>
      <xdr:col>14</xdr:col>
      <xdr:colOff>767715</xdr:colOff>
      <xdr:row>108</xdr:row>
      <xdr:rowOff>165100</xdr:rowOff>
    </xdr:to>
    <xdr:graphicFrame>
      <xdr:nvGraphicFramePr>
        <xdr:cNvPr id="7" name="图表 6" descr="7b0a202020202263686172745265734964223a202234363130333534220a7d0a"/>
        <xdr:cNvGraphicFramePr/>
      </xdr:nvGraphicFramePr>
      <xdr:xfrm>
        <a:off x="1443990" y="17961610"/>
        <a:ext cx="9331960" cy="464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43</xdr:col>
      <xdr:colOff>111125</xdr:colOff>
      <xdr:row>57</xdr:row>
      <xdr:rowOff>36195</xdr:rowOff>
    </xdr:from>
    <xdr:to>
      <xdr:col>61</xdr:col>
      <xdr:colOff>220345</xdr:colOff>
      <xdr:row>88</xdr:row>
      <xdr:rowOff>86360</xdr:rowOff>
    </xdr:to>
    <xdr:graphicFrame>
      <xdr:nvGraphicFramePr>
        <xdr:cNvPr id="8" name="图表 7" descr="7b0a202020202263686172745265734964223a202234363130333534220a7d0a"/>
        <xdr:cNvGraphicFramePr/>
      </xdr:nvGraphicFramePr>
      <xdr:xfrm>
        <a:off x="34981515" y="13255625"/>
        <a:ext cx="11424920" cy="5720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49</xdr:col>
      <xdr:colOff>101600</xdr:colOff>
      <xdr:row>4</xdr:row>
      <xdr:rowOff>36195</xdr:rowOff>
    </xdr:from>
    <xdr:to>
      <xdr:col>62</xdr:col>
      <xdr:colOff>64135</xdr:colOff>
      <xdr:row>29</xdr:row>
      <xdr:rowOff>67945</xdr:rowOff>
    </xdr:to>
    <xdr:graphicFrame>
      <xdr:nvGraphicFramePr>
        <xdr:cNvPr id="10" name="图表 9" descr="7b0a202020202263686172745265734964223a202234363130333534220a7d0a"/>
        <xdr:cNvGraphicFramePr/>
      </xdr:nvGraphicFramePr>
      <xdr:xfrm>
        <a:off x="38743890" y="1140460"/>
        <a:ext cx="8134985" cy="5688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62</xdr:col>
      <xdr:colOff>596265</xdr:colOff>
      <xdr:row>2</xdr:row>
      <xdr:rowOff>226695</xdr:rowOff>
    </xdr:from>
    <xdr:to>
      <xdr:col>75</xdr:col>
      <xdr:colOff>474980</xdr:colOff>
      <xdr:row>27</xdr:row>
      <xdr:rowOff>71755</xdr:rowOff>
    </xdr:to>
    <xdr:graphicFrame>
      <xdr:nvGraphicFramePr>
        <xdr:cNvPr id="11" name="图表 10" descr="7b0a202020202263686172745265734964223a202234363130333534220a7d0a"/>
        <xdr:cNvGraphicFramePr/>
      </xdr:nvGraphicFramePr>
      <xdr:xfrm>
        <a:off x="47411005" y="814070"/>
        <a:ext cx="8051165" cy="5600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190500</xdr:colOff>
      <xdr:row>51</xdr:row>
      <xdr:rowOff>0</xdr:rowOff>
    </xdr:from>
    <xdr:to>
      <xdr:col>52</xdr:col>
      <xdr:colOff>117475</xdr:colOff>
      <xdr:row>72</xdr:row>
      <xdr:rowOff>103505</xdr:rowOff>
    </xdr:to>
    <xdr:graphicFrame>
      <xdr:nvGraphicFramePr>
        <xdr:cNvPr id="12" name="图表 11" descr="7b0a202020202263686172745265734964223a202234363130333534220a7d0a"/>
        <xdr:cNvGraphicFramePr/>
      </xdr:nvGraphicFramePr>
      <xdr:xfrm>
        <a:off x="32108775" y="11847830"/>
        <a:ext cx="8536940" cy="4300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54</xdr:col>
      <xdr:colOff>14605</xdr:colOff>
      <xdr:row>47</xdr:row>
      <xdr:rowOff>6985</xdr:rowOff>
    </xdr:from>
    <xdr:to>
      <xdr:col>66</xdr:col>
      <xdr:colOff>439420</xdr:colOff>
      <xdr:row>64</xdr:row>
      <xdr:rowOff>97790</xdr:rowOff>
    </xdr:to>
    <xdr:graphicFrame>
      <xdr:nvGraphicFramePr>
        <xdr:cNvPr id="13" name="图表 12" descr="7b0a202020202263686172745265734964223a202234363130333534220a7d0a"/>
        <xdr:cNvGraphicFramePr/>
      </xdr:nvGraphicFramePr>
      <xdr:xfrm>
        <a:off x="41800145" y="10788015"/>
        <a:ext cx="7968615" cy="3932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312420</xdr:colOff>
      <xdr:row>70</xdr:row>
      <xdr:rowOff>20955</xdr:rowOff>
    </xdr:from>
    <xdr:to>
      <xdr:col>15</xdr:col>
      <xdr:colOff>650875</xdr:colOff>
      <xdr:row>96</xdr:row>
      <xdr:rowOff>79375</xdr:rowOff>
    </xdr:to>
    <xdr:graphicFrame>
      <xdr:nvGraphicFramePr>
        <xdr:cNvPr id="14" name="图表 13" descr="7b0a202020202263686172745265734964223a202234363130333534220a7d0a"/>
        <xdr:cNvGraphicFramePr/>
      </xdr:nvGraphicFramePr>
      <xdr:xfrm>
        <a:off x="1550670" y="15710535"/>
        <a:ext cx="10346690" cy="468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111125</xdr:colOff>
      <xdr:row>55</xdr:row>
      <xdr:rowOff>36195</xdr:rowOff>
    </xdr:from>
    <xdr:to>
      <xdr:col>63</xdr:col>
      <xdr:colOff>220345</xdr:colOff>
      <xdr:row>86</xdr:row>
      <xdr:rowOff>86360</xdr:rowOff>
    </xdr:to>
    <xdr:graphicFrame>
      <xdr:nvGraphicFramePr>
        <xdr:cNvPr id="15" name="图表 14" descr="7b0a202020202263686172745265734964223a202234363130333534220a7d0a"/>
        <xdr:cNvGraphicFramePr/>
      </xdr:nvGraphicFramePr>
      <xdr:xfrm>
        <a:off x="36238815" y="12836525"/>
        <a:ext cx="11424920" cy="5784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49</xdr:col>
      <xdr:colOff>101600</xdr:colOff>
      <xdr:row>4</xdr:row>
      <xdr:rowOff>36195</xdr:rowOff>
    </xdr:from>
    <xdr:to>
      <xdr:col>62</xdr:col>
      <xdr:colOff>64135</xdr:colOff>
      <xdr:row>29</xdr:row>
      <xdr:rowOff>209550</xdr:rowOff>
    </xdr:to>
    <xdr:graphicFrame>
      <xdr:nvGraphicFramePr>
        <xdr:cNvPr id="16" name="图表 15" descr="7b0a202020202263686172745265734964223a202234363130333534220a7d0a"/>
        <xdr:cNvGraphicFramePr/>
      </xdr:nvGraphicFramePr>
      <xdr:xfrm>
        <a:off x="38743890" y="1140460"/>
        <a:ext cx="8134985" cy="5830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62</xdr:col>
      <xdr:colOff>596265</xdr:colOff>
      <xdr:row>2</xdr:row>
      <xdr:rowOff>226695</xdr:rowOff>
    </xdr:from>
    <xdr:to>
      <xdr:col>75</xdr:col>
      <xdr:colOff>474980</xdr:colOff>
      <xdr:row>28</xdr:row>
      <xdr:rowOff>71755</xdr:rowOff>
    </xdr:to>
    <xdr:graphicFrame>
      <xdr:nvGraphicFramePr>
        <xdr:cNvPr id="21" name="图表 20" descr="7b0a202020202263686172745265734964223a202234363130333534220a7d0a"/>
        <xdr:cNvGraphicFramePr/>
      </xdr:nvGraphicFramePr>
      <xdr:xfrm>
        <a:off x="47411005" y="814070"/>
        <a:ext cx="8051165" cy="580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39</xdr:col>
      <xdr:colOff>190500</xdr:colOff>
      <xdr:row>52</xdr:row>
      <xdr:rowOff>195580</xdr:rowOff>
    </xdr:from>
    <xdr:to>
      <xdr:col>52</xdr:col>
      <xdr:colOff>117475</xdr:colOff>
      <xdr:row>74</xdr:row>
      <xdr:rowOff>103505</xdr:rowOff>
    </xdr:to>
    <xdr:graphicFrame>
      <xdr:nvGraphicFramePr>
        <xdr:cNvPr id="22" name="图表 21" descr="7b0a202020202263686172745265734964223a202234363130333534220a7d0a"/>
        <xdr:cNvGraphicFramePr/>
      </xdr:nvGraphicFramePr>
      <xdr:xfrm>
        <a:off x="32108775" y="12310110"/>
        <a:ext cx="8536940" cy="4194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54</xdr:col>
      <xdr:colOff>14605</xdr:colOff>
      <xdr:row>48</xdr:row>
      <xdr:rowOff>6985</xdr:rowOff>
    </xdr:from>
    <xdr:to>
      <xdr:col>66</xdr:col>
      <xdr:colOff>439420</xdr:colOff>
      <xdr:row>66</xdr:row>
      <xdr:rowOff>97790</xdr:rowOff>
    </xdr:to>
    <xdr:graphicFrame>
      <xdr:nvGraphicFramePr>
        <xdr:cNvPr id="23" name="图表 22" descr="7b0a202020202263686172745265734964223a202234363130333534220a7d0a"/>
        <xdr:cNvGraphicFramePr/>
      </xdr:nvGraphicFramePr>
      <xdr:xfrm>
        <a:off x="41800145" y="11054715"/>
        <a:ext cx="7968615" cy="4021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194945</xdr:colOff>
      <xdr:row>83</xdr:row>
      <xdr:rowOff>102870</xdr:rowOff>
    </xdr:from>
    <xdr:to>
      <xdr:col>14</xdr:col>
      <xdr:colOff>621030</xdr:colOff>
      <xdr:row>109</xdr:row>
      <xdr:rowOff>129540</xdr:rowOff>
    </xdr:to>
    <xdr:graphicFrame>
      <xdr:nvGraphicFramePr>
        <xdr:cNvPr id="24" name="图表 23" descr="7b0a202020202263686172745265734964223a202234363130333534220a7d0a"/>
        <xdr:cNvGraphicFramePr/>
      </xdr:nvGraphicFramePr>
      <xdr:xfrm>
        <a:off x="194945" y="18103850"/>
        <a:ext cx="10434320" cy="464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45</xdr:col>
      <xdr:colOff>111125</xdr:colOff>
      <xdr:row>57</xdr:row>
      <xdr:rowOff>36195</xdr:rowOff>
    </xdr:from>
    <xdr:to>
      <xdr:col>63</xdr:col>
      <xdr:colOff>220345</xdr:colOff>
      <xdr:row>88</xdr:row>
      <xdr:rowOff>86360</xdr:rowOff>
    </xdr:to>
    <xdr:graphicFrame>
      <xdr:nvGraphicFramePr>
        <xdr:cNvPr id="25" name="图表 24" descr="7b0a202020202263686172745265734964223a202234363130333534220a7d0a"/>
        <xdr:cNvGraphicFramePr/>
      </xdr:nvGraphicFramePr>
      <xdr:xfrm>
        <a:off x="36238815" y="13255625"/>
        <a:ext cx="11424920" cy="5720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6519;&#28165;&#40607;\AppData\Local\Temp\fe2a4d0f-b1f8-4e61-b681-81dd0b0b910e_&#22270;&#20070;&#12298;Excel&#24433;&#21709;&#21147;&#12299;&#36192;&#36865;&#31119;&#21033;&#36164;&#28304;&#21253;.zip.10e\&#22270;&#20070;&#12298;Excel&#24433;&#21709;&#21147;&#12299;&#36192;&#36865;&#31119;&#21033;&#36164;&#28304;&#21253;\&#22270;&#34920;&#27169;&#26495;\36%20&#29992;&#34920;&#26684;&#21576;&#29616;&#25968;&#25454;&#30340;&#24046;&#2432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11&#26376;30&#26085;&#39567;&#24310;&#38598;&#22242;&#26032;&#23186;&#20307;&#25968;&#25454;&#34920;(&#24635;&#34920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12&#26376;31&#26085;&#39567;&#24310;&#38598;&#22242;&#26032;&#23186;&#20307;&#25968;&#25454;&#34920;(&#24635;&#34920;)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8522\Desktop\&#39567;&#24310;\2026&#24180;2&#26376;28&#26085;&#39567;&#24310;&#38598;&#22242;&#26032;&#23186;&#20307;&#25968;&#25454;&#34920;(&#24635;&#34920;)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呈现"/>
      <sheetName val="辅助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目标数据"/>
      <sheetName val="核心指标进度表"/>
      <sheetName val="总表-数据收集"/>
      <sheetName val="周数据对比"/>
      <sheetName val="月度数据对比"/>
      <sheetName val="Sheet2"/>
    </sheetNames>
    <sheetDataSet>
      <sheetData sheetId="0"/>
      <sheetData sheetId="1"/>
      <sheetData sheetId="2"/>
      <sheetData sheetId="3"/>
      <sheetData sheetId="4">
        <row r="2">
          <cell r="B2" t="str">
            <v>2月</v>
          </cell>
          <cell r="C2" t="str">
            <v>3月</v>
          </cell>
          <cell r="D2" t="str">
            <v>4月</v>
          </cell>
          <cell r="E2" t="str">
            <v>5月</v>
          </cell>
          <cell r="F2" t="str">
            <v>6月</v>
          </cell>
          <cell r="G2" t="str">
            <v>7月</v>
          </cell>
          <cell r="H2" t="str">
            <v>8月</v>
          </cell>
          <cell r="I2" t="str">
            <v>9月</v>
          </cell>
        </row>
        <row r="2">
          <cell r="N2" t="str">
            <v>2月</v>
          </cell>
          <cell r="O2" t="str">
            <v>3月</v>
          </cell>
          <cell r="P2" t="str">
            <v>4月</v>
          </cell>
          <cell r="Q2" t="str">
            <v>5月</v>
          </cell>
          <cell r="R2" t="str">
            <v>6月</v>
          </cell>
          <cell r="S2" t="str">
            <v>7月</v>
          </cell>
          <cell r="T2" t="str">
            <v>8月</v>
          </cell>
          <cell r="U2" t="str">
            <v>9月</v>
          </cell>
        </row>
        <row r="3">
          <cell r="A3" t="str">
            <v>花都广本</v>
          </cell>
          <cell r="B3">
            <v>52</v>
          </cell>
          <cell r="C3">
            <v>24</v>
          </cell>
          <cell r="D3">
            <v>55</v>
          </cell>
          <cell r="E3">
            <v>37</v>
          </cell>
          <cell r="F3">
            <v>43</v>
          </cell>
          <cell r="G3">
            <v>28</v>
          </cell>
          <cell r="H3">
            <v>30</v>
          </cell>
          <cell r="I3">
            <v>42</v>
          </cell>
        </row>
        <row r="3">
          <cell r="M3" t="str">
            <v>花都广本</v>
          </cell>
          <cell r="N3">
            <v>0.25</v>
          </cell>
          <cell r="O3">
            <v>0.205</v>
          </cell>
          <cell r="P3">
            <v>0.21</v>
          </cell>
          <cell r="Q3">
            <v>0.26</v>
          </cell>
          <cell r="R3">
            <v>0.29</v>
          </cell>
          <cell r="S3">
            <v>0.25</v>
          </cell>
          <cell r="T3">
            <v>0.24</v>
          </cell>
          <cell r="U3">
            <v>0.34</v>
          </cell>
        </row>
        <row r="4">
          <cell r="A4" t="str">
            <v>清远广本</v>
          </cell>
          <cell r="B4">
            <v>20</v>
          </cell>
          <cell r="C4">
            <v>9</v>
          </cell>
          <cell r="D4">
            <v>18</v>
          </cell>
          <cell r="E4">
            <v>20</v>
          </cell>
          <cell r="F4">
            <v>20</v>
          </cell>
          <cell r="G4">
            <v>13</v>
          </cell>
          <cell r="H4">
            <v>19</v>
          </cell>
          <cell r="I4">
            <v>16</v>
          </cell>
        </row>
        <row r="4">
          <cell r="M4" t="str">
            <v>清远广本</v>
          </cell>
          <cell r="N4">
            <v>0.162</v>
          </cell>
          <cell r="O4">
            <v>0.128</v>
          </cell>
          <cell r="P4">
            <v>0.25</v>
          </cell>
          <cell r="Q4">
            <v>0.169</v>
          </cell>
          <cell r="R4">
            <v>0.168</v>
          </cell>
          <cell r="S4">
            <v>0.2</v>
          </cell>
          <cell r="T4">
            <v>0.194</v>
          </cell>
          <cell r="U4">
            <v>0.168</v>
          </cell>
        </row>
        <row r="5">
          <cell r="A5" t="str">
            <v>白云零跑</v>
          </cell>
          <cell r="B5">
            <v>4</v>
          </cell>
          <cell r="C5">
            <v>3</v>
          </cell>
          <cell r="D5">
            <v>11</v>
          </cell>
          <cell r="E5">
            <v>16</v>
          </cell>
          <cell r="F5">
            <v>9</v>
          </cell>
          <cell r="G5">
            <v>12</v>
          </cell>
          <cell r="H5">
            <v>20</v>
          </cell>
          <cell r="I5">
            <v>24</v>
          </cell>
        </row>
        <row r="5">
          <cell r="M5" t="str">
            <v>白云零跑</v>
          </cell>
          <cell r="N5">
            <v>0.07</v>
          </cell>
        </row>
        <row r="5">
          <cell r="P5">
            <v>0.2</v>
          </cell>
          <cell r="Q5">
            <v>0.333</v>
          </cell>
          <cell r="R5">
            <v>0.05</v>
          </cell>
          <cell r="S5">
            <v>0.15</v>
          </cell>
          <cell r="T5">
            <v>0.171</v>
          </cell>
          <cell r="U5">
            <v>0.292</v>
          </cell>
        </row>
        <row r="6">
          <cell r="A6" t="str">
            <v>花都零跑</v>
          </cell>
          <cell r="B6">
            <v>17</v>
          </cell>
          <cell r="C6">
            <v>13</v>
          </cell>
          <cell r="D6">
            <v>9</v>
          </cell>
          <cell r="E6">
            <v>12</v>
          </cell>
          <cell r="F6">
            <v>11</v>
          </cell>
          <cell r="G6">
            <v>9</v>
          </cell>
          <cell r="H6">
            <v>14</v>
          </cell>
          <cell r="I6">
            <v>8</v>
          </cell>
        </row>
        <row r="6">
          <cell r="M6" t="str">
            <v>花都零跑</v>
          </cell>
          <cell r="N6">
            <v>0.153</v>
          </cell>
          <cell r="O6">
            <v>0.135</v>
          </cell>
          <cell r="P6">
            <v>0.143</v>
          </cell>
          <cell r="Q6">
            <v>0.286</v>
          </cell>
          <cell r="R6">
            <v>0.08</v>
          </cell>
          <cell r="S6">
            <v>0.1</v>
          </cell>
          <cell r="T6">
            <v>0.009</v>
          </cell>
          <cell r="U6">
            <v>0.11</v>
          </cell>
        </row>
        <row r="7">
          <cell r="A7" t="str">
            <v>番禺零跑</v>
          </cell>
          <cell r="B7">
            <v>0</v>
          </cell>
          <cell r="C7">
            <v>0</v>
          </cell>
          <cell r="D7">
            <v>6</v>
          </cell>
          <cell r="E7">
            <v>11</v>
          </cell>
          <cell r="F7">
            <v>9</v>
          </cell>
          <cell r="G7">
            <v>6</v>
          </cell>
          <cell r="H7">
            <v>3</v>
          </cell>
          <cell r="I7">
            <v>1</v>
          </cell>
        </row>
        <row r="7">
          <cell r="M7" t="str">
            <v>番禺零跑</v>
          </cell>
          <cell r="N7">
            <v>0</v>
          </cell>
        </row>
        <row r="7">
          <cell r="P7">
            <v>0.18</v>
          </cell>
          <cell r="Q7">
            <v>0.333</v>
          </cell>
          <cell r="R7">
            <v>0.23</v>
          </cell>
          <cell r="S7">
            <v>0.2</v>
          </cell>
          <cell r="T7">
            <v>0</v>
          </cell>
          <cell r="U7">
            <v>0</v>
          </cell>
        </row>
        <row r="8">
          <cell r="A8" t="str">
            <v>河源零跑</v>
          </cell>
          <cell r="B8">
            <v>11</v>
          </cell>
          <cell r="C8">
            <v>5</v>
          </cell>
          <cell r="D8">
            <v>9</v>
          </cell>
          <cell r="E8">
            <v>14</v>
          </cell>
          <cell r="F8">
            <v>10</v>
          </cell>
          <cell r="G8">
            <v>22</v>
          </cell>
          <cell r="H8">
            <v>12</v>
          </cell>
          <cell r="I8">
            <v>15</v>
          </cell>
        </row>
        <row r="8">
          <cell r="M8" t="str">
            <v>河源零跑</v>
          </cell>
          <cell r="N8">
            <v>0.133</v>
          </cell>
          <cell r="O8">
            <v>0.033</v>
          </cell>
          <cell r="P8">
            <v>0.175</v>
          </cell>
          <cell r="Q8">
            <v>0.154</v>
          </cell>
          <cell r="R8">
            <v>0.09</v>
          </cell>
          <cell r="S8">
            <v>0.24</v>
          </cell>
        </row>
        <row r="8">
          <cell r="U8">
            <v>0.21</v>
          </cell>
        </row>
        <row r="9">
          <cell r="A9" t="str">
            <v>汕头零跑</v>
          </cell>
          <cell r="B9">
            <v>13</v>
          </cell>
          <cell r="C9">
            <v>13</v>
          </cell>
          <cell r="D9">
            <v>9</v>
          </cell>
          <cell r="E9">
            <v>16</v>
          </cell>
          <cell r="F9">
            <v>19</v>
          </cell>
          <cell r="G9">
            <v>21</v>
          </cell>
          <cell r="H9">
            <v>23</v>
          </cell>
          <cell r="I9">
            <v>28</v>
          </cell>
        </row>
        <row r="9">
          <cell r="M9" t="str">
            <v>汕头零跑</v>
          </cell>
          <cell r="N9">
            <v>0.2</v>
          </cell>
          <cell r="O9">
            <v>0.23</v>
          </cell>
          <cell r="P9">
            <v>0.1</v>
          </cell>
          <cell r="Q9">
            <v>0.185</v>
          </cell>
          <cell r="R9">
            <v>0.2</v>
          </cell>
          <cell r="S9">
            <v>0.2</v>
          </cell>
          <cell r="T9">
            <v>0.185</v>
          </cell>
          <cell r="U9">
            <v>0.22</v>
          </cell>
        </row>
        <row r="10">
          <cell r="A10" t="str">
            <v>清远零跑</v>
          </cell>
          <cell r="B10">
            <v>8</v>
          </cell>
          <cell r="C10">
            <v>6</v>
          </cell>
          <cell r="D10">
            <v>5</v>
          </cell>
          <cell r="E10">
            <v>8</v>
          </cell>
          <cell r="F10">
            <v>9</v>
          </cell>
          <cell r="G10">
            <v>14</v>
          </cell>
          <cell r="H10">
            <v>12</v>
          </cell>
          <cell r="I10">
            <v>10</v>
          </cell>
        </row>
        <row r="10">
          <cell r="M10" t="str">
            <v>清远零跑</v>
          </cell>
          <cell r="N10">
            <v>0.07</v>
          </cell>
          <cell r="O10">
            <v>0.15</v>
          </cell>
          <cell r="P10">
            <v>0.09</v>
          </cell>
          <cell r="Q10">
            <v>0.069</v>
          </cell>
          <cell r="R10">
            <v>0.072</v>
          </cell>
          <cell r="S10">
            <v>0.1</v>
          </cell>
          <cell r="T10">
            <v>0.1</v>
          </cell>
          <cell r="U10">
            <v>0.1</v>
          </cell>
        </row>
        <row r="11">
          <cell r="A11" t="str">
            <v>湛江零跑</v>
          </cell>
          <cell r="B11">
            <v>10</v>
          </cell>
          <cell r="C11">
            <v>3</v>
          </cell>
          <cell r="D11">
            <v>3</v>
          </cell>
          <cell r="E11">
            <v>4</v>
          </cell>
          <cell r="F11">
            <v>5</v>
          </cell>
          <cell r="G11">
            <v>5</v>
          </cell>
          <cell r="H11">
            <v>7</v>
          </cell>
          <cell r="I11">
            <v>6</v>
          </cell>
        </row>
        <row r="11">
          <cell r="M11" t="str">
            <v>湛江零跑</v>
          </cell>
          <cell r="N11">
            <v>0.26</v>
          </cell>
          <cell r="O11">
            <v>0.1</v>
          </cell>
          <cell r="P11">
            <v>0.117</v>
          </cell>
          <cell r="Q11">
            <v>0.138</v>
          </cell>
          <cell r="R11">
            <v>0.084</v>
          </cell>
          <cell r="S11">
            <v>0.15</v>
          </cell>
          <cell r="T11">
            <v>0.1</v>
          </cell>
          <cell r="U11">
            <v>0.1</v>
          </cell>
        </row>
        <row r="12">
          <cell r="A12" t="str">
            <v>江门大众</v>
          </cell>
          <cell r="B12">
            <v>6</v>
          </cell>
          <cell r="C12">
            <v>10</v>
          </cell>
          <cell r="D12">
            <v>5</v>
          </cell>
          <cell r="E12">
            <v>4</v>
          </cell>
          <cell r="F12">
            <v>15</v>
          </cell>
          <cell r="G12">
            <v>8</v>
          </cell>
          <cell r="H12">
            <v>8</v>
          </cell>
          <cell r="I12">
            <v>15</v>
          </cell>
        </row>
        <row r="12">
          <cell r="M12" t="str">
            <v>江门大众</v>
          </cell>
          <cell r="N12">
            <v>0</v>
          </cell>
          <cell r="O12">
            <v>0.1</v>
          </cell>
          <cell r="P12">
            <v>0.05</v>
          </cell>
          <cell r="Q12">
            <v>0.06</v>
          </cell>
          <cell r="R12">
            <v>0.06</v>
          </cell>
          <cell r="S12">
            <v>0.1</v>
          </cell>
          <cell r="T12">
            <v>0.002</v>
          </cell>
          <cell r="U12">
            <v>0.08</v>
          </cell>
        </row>
        <row r="13">
          <cell r="A13" t="str">
            <v>鑫海广本</v>
          </cell>
        </row>
        <row r="13">
          <cell r="D13">
            <v>12</v>
          </cell>
          <cell r="E13">
            <v>13</v>
          </cell>
          <cell r="F13">
            <v>20</v>
          </cell>
          <cell r="G13">
            <v>9</v>
          </cell>
          <cell r="H13">
            <v>16</v>
          </cell>
          <cell r="I13">
            <v>10</v>
          </cell>
        </row>
        <row r="13">
          <cell r="M13" t="str">
            <v>鑫海广本</v>
          </cell>
        </row>
        <row r="13">
          <cell r="P13">
            <v>0.2</v>
          </cell>
          <cell r="Q13">
            <v>0.2</v>
          </cell>
          <cell r="R13">
            <v>0.2</v>
          </cell>
          <cell r="S13">
            <v>0.15</v>
          </cell>
          <cell r="T13">
            <v>0.15</v>
          </cell>
          <cell r="U13">
            <v>0.15</v>
          </cell>
        </row>
        <row r="14">
          <cell r="A14" t="str">
            <v>花都传祺</v>
          </cell>
        </row>
        <row r="14">
          <cell r="F14">
            <v>1</v>
          </cell>
          <cell r="G14">
            <v>4</v>
          </cell>
          <cell r="H14">
            <v>6</v>
          </cell>
          <cell r="I14">
            <v>5</v>
          </cell>
        </row>
        <row r="14">
          <cell r="M14" t="str">
            <v>花都传祺</v>
          </cell>
        </row>
        <row r="14">
          <cell r="R14">
            <v>0</v>
          </cell>
          <cell r="S14">
            <v>0.2</v>
          </cell>
          <cell r="T14">
            <v>0.15</v>
          </cell>
          <cell r="U14">
            <v>0.16</v>
          </cell>
        </row>
        <row r="20">
          <cell r="B20" t="str">
            <v>2月</v>
          </cell>
          <cell r="C20" t="str">
            <v>3月</v>
          </cell>
          <cell r="D20" t="str">
            <v>4月</v>
          </cell>
          <cell r="E20" t="str">
            <v>5月</v>
          </cell>
          <cell r="F20" t="str">
            <v>6月</v>
          </cell>
          <cell r="G20" t="str">
            <v>7月</v>
          </cell>
          <cell r="H20" t="str">
            <v>8月</v>
          </cell>
          <cell r="I20" t="str">
            <v>9月</v>
          </cell>
        </row>
        <row r="20">
          <cell r="N20" t="str">
            <v>2月</v>
          </cell>
          <cell r="O20" t="str">
            <v>3月</v>
          </cell>
          <cell r="P20" t="str">
            <v>4月</v>
          </cell>
          <cell r="Q20" t="str">
            <v>5月</v>
          </cell>
          <cell r="R20" t="str">
            <v>6月</v>
          </cell>
          <cell r="S20" t="str">
            <v>7月</v>
          </cell>
          <cell r="T20" t="str">
            <v>8月</v>
          </cell>
          <cell r="U20" t="str">
            <v>9月</v>
          </cell>
        </row>
        <row r="21">
          <cell r="A21" t="str">
            <v>花都广本</v>
          </cell>
          <cell r="B21">
            <v>2549</v>
          </cell>
          <cell r="C21">
            <v>1396</v>
          </cell>
          <cell r="D21">
            <v>1992</v>
          </cell>
          <cell r="E21">
            <v>775</v>
          </cell>
          <cell r="F21">
            <v>1429</v>
          </cell>
          <cell r="G21">
            <v>1561</v>
          </cell>
          <cell r="H21">
            <v>1537</v>
          </cell>
          <cell r="I21">
            <v>2391</v>
          </cell>
        </row>
        <row r="21">
          <cell r="M21" t="str">
            <v>花都广本</v>
          </cell>
          <cell r="N21">
            <v>136</v>
          </cell>
          <cell r="O21">
            <v>77</v>
          </cell>
          <cell r="P21">
            <v>113</v>
          </cell>
          <cell r="Q21">
            <v>63</v>
          </cell>
          <cell r="R21">
            <v>86</v>
          </cell>
          <cell r="S21">
            <v>65</v>
          </cell>
          <cell r="T21">
            <v>69</v>
          </cell>
          <cell r="U21">
            <v>76</v>
          </cell>
        </row>
        <row r="22">
          <cell r="A22" t="str">
            <v>清远广本</v>
          </cell>
          <cell r="B22">
            <v>1260</v>
          </cell>
          <cell r="C22">
            <v>635</v>
          </cell>
          <cell r="D22">
            <v>754</v>
          </cell>
          <cell r="E22">
            <v>680</v>
          </cell>
          <cell r="F22">
            <v>744</v>
          </cell>
          <cell r="G22">
            <v>930</v>
          </cell>
          <cell r="H22">
            <v>1040</v>
          </cell>
          <cell r="I22">
            <v>1090</v>
          </cell>
        </row>
        <row r="22">
          <cell r="M22" t="str">
            <v>清远广本</v>
          </cell>
          <cell r="N22">
            <v>77</v>
          </cell>
          <cell r="O22">
            <v>34</v>
          </cell>
          <cell r="P22">
            <v>45</v>
          </cell>
          <cell r="Q22">
            <v>65</v>
          </cell>
          <cell r="R22">
            <v>65</v>
          </cell>
          <cell r="S22">
            <v>67</v>
          </cell>
          <cell r="T22">
            <v>79</v>
          </cell>
          <cell r="U22">
            <v>47</v>
          </cell>
        </row>
        <row r="23">
          <cell r="A23" t="str">
            <v>白云零跑</v>
          </cell>
          <cell r="B23">
            <v>369</v>
          </cell>
          <cell r="C23">
            <v>190</v>
          </cell>
          <cell r="D23">
            <v>608</v>
          </cell>
          <cell r="E23">
            <v>548</v>
          </cell>
          <cell r="F23">
            <v>590</v>
          </cell>
          <cell r="G23">
            <v>565</v>
          </cell>
          <cell r="H23">
            <v>654</v>
          </cell>
          <cell r="I23">
            <v>1034</v>
          </cell>
        </row>
        <row r="23">
          <cell r="M23" t="str">
            <v>白云零跑</v>
          </cell>
          <cell r="N23">
            <v>18</v>
          </cell>
          <cell r="O23">
            <v>7</v>
          </cell>
          <cell r="P23">
            <v>42</v>
          </cell>
          <cell r="Q23">
            <v>56</v>
          </cell>
          <cell r="R23">
            <v>44</v>
          </cell>
          <cell r="S23">
            <v>34</v>
          </cell>
          <cell r="T23">
            <v>60</v>
          </cell>
          <cell r="U23">
            <v>46</v>
          </cell>
        </row>
        <row r="24">
          <cell r="A24" t="str">
            <v>花都零跑</v>
          </cell>
          <cell r="B24">
            <v>782</v>
          </cell>
          <cell r="C24">
            <v>632</v>
          </cell>
          <cell r="D24">
            <v>635</v>
          </cell>
          <cell r="E24">
            <v>570</v>
          </cell>
          <cell r="F24">
            <v>816</v>
          </cell>
          <cell r="G24">
            <v>641</v>
          </cell>
          <cell r="H24">
            <v>830</v>
          </cell>
          <cell r="I24">
            <v>697</v>
          </cell>
        </row>
        <row r="24">
          <cell r="M24" t="str">
            <v>花都零跑</v>
          </cell>
          <cell r="N24">
            <v>32</v>
          </cell>
          <cell r="O24">
            <v>30</v>
          </cell>
          <cell r="P24">
            <v>29</v>
          </cell>
          <cell r="Q24">
            <v>17</v>
          </cell>
          <cell r="R24">
            <v>32</v>
          </cell>
          <cell r="S24">
            <v>24</v>
          </cell>
          <cell r="T24">
            <v>51</v>
          </cell>
          <cell r="U24">
            <v>20</v>
          </cell>
        </row>
        <row r="25">
          <cell r="A25" t="str">
            <v>番禺零跑</v>
          </cell>
          <cell r="B25">
            <v>15</v>
          </cell>
          <cell r="C25">
            <v>32</v>
          </cell>
          <cell r="D25">
            <v>429</v>
          </cell>
          <cell r="E25">
            <v>147</v>
          </cell>
          <cell r="F25">
            <v>369</v>
          </cell>
          <cell r="G25">
            <v>536</v>
          </cell>
          <cell r="H25">
            <v>462</v>
          </cell>
          <cell r="I25">
            <v>212</v>
          </cell>
        </row>
        <row r="25">
          <cell r="M25" t="str">
            <v>番禺零跑</v>
          </cell>
          <cell r="N25">
            <v>3</v>
          </cell>
          <cell r="O25">
            <v>11</v>
          </cell>
          <cell r="P25">
            <v>29</v>
          </cell>
          <cell r="Q25">
            <v>24</v>
          </cell>
          <cell r="R25">
            <v>20</v>
          </cell>
          <cell r="S25">
            <v>13</v>
          </cell>
          <cell r="T25">
            <v>4</v>
          </cell>
          <cell r="U25">
            <v>1</v>
          </cell>
        </row>
        <row r="26">
          <cell r="A26" t="str">
            <v>河源零跑</v>
          </cell>
          <cell r="B26">
            <v>853</v>
          </cell>
          <cell r="C26">
            <v>605</v>
          </cell>
          <cell r="D26">
            <v>520</v>
          </cell>
          <cell r="E26">
            <v>432</v>
          </cell>
          <cell r="F26">
            <v>401</v>
          </cell>
          <cell r="G26">
            <v>514</v>
          </cell>
          <cell r="H26">
            <v>525</v>
          </cell>
          <cell r="I26">
            <v>453</v>
          </cell>
        </row>
        <row r="26">
          <cell r="M26" t="str">
            <v>河源零跑</v>
          </cell>
          <cell r="N26">
            <v>45</v>
          </cell>
          <cell r="O26">
            <v>45</v>
          </cell>
          <cell r="P26">
            <v>51</v>
          </cell>
          <cell r="Q26">
            <v>61</v>
          </cell>
          <cell r="R26">
            <v>40</v>
          </cell>
          <cell r="S26">
            <v>89</v>
          </cell>
          <cell r="T26">
            <v>89</v>
          </cell>
          <cell r="U26">
            <v>111</v>
          </cell>
        </row>
        <row r="27">
          <cell r="A27" t="str">
            <v>汕头零跑</v>
          </cell>
          <cell r="B27">
            <v>396</v>
          </cell>
          <cell r="C27">
            <v>527</v>
          </cell>
          <cell r="D27">
            <v>615</v>
          </cell>
          <cell r="E27">
            <v>721</v>
          </cell>
          <cell r="F27">
            <v>655</v>
          </cell>
          <cell r="G27">
            <v>653</v>
          </cell>
          <cell r="H27">
            <v>870</v>
          </cell>
          <cell r="I27">
            <v>756</v>
          </cell>
        </row>
        <row r="27">
          <cell r="M27" t="str">
            <v>汕头零跑</v>
          </cell>
          <cell r="N27">
            <v>25</v>
          </cell>
          <cell r="O27">
            <v>32</v>
          </cell>
          <cell r="P27">
            <v>70</v>
          </cell>
          <cell r="Q27">
            <v>68</v>
          </cell>
          <cell r="R27">
            <v>86</v>
          </cell>
          <cell r="S27">
            <v>107</v>
          </cell>
          <cell r="T27">
            <v>108</v>
          </cell>
          <cell r="U27">
            <v>73</v>
          </cell>
        </row>
        <row r="28">
          <cell r="A28" t="str">
            <v>清远零跑</v>
          </cell>
          <cell r="B28">
            <v>364</v>
          </cell>
          <cell r="C28">
            <v>198</v>
          </cell>
          <cell r="D28">
            <v>247</v>
          </cell>
          <cell r="E28">
            <v>305</v>
          </cell>
          <cell r="F28">
            <v>425</v>
          </cell>
          <cell r="G28">
            <v>499</v>
          </cell>
          <cell r="H28">
            <v>682</v>
          </cell>
          <cell r="I28">
            <v>648</v>
          </cell>
        </row>
        <row r="28">
          <cell r="M28" t="str">
            <v>清远零跑</v>
          </cell>
          <cell r="N28">
            <v>17</v>
          </cell>
          <cell r="O28">
            <v>14</v>
          </cell>
          <cell r="P28">
            <v>16</v>
          </cell>
          <cell r="Q28">
            <v>25</v>
          </cell>
          <cell r="R28">
            <v>28</v>
          </cell>
          <cell r="S28">
            <v>37</v>
          </cell>
          <cell r="T28">
            <v>19</v>
          </cell>
          <cell r="U28">
            <v>26</v>
          </cell>
        </row>
        <row r="29">
          <cell r="A29" t="str">
            <v>湛江零跑</v>
          </cell>
          <cell r="B29">
            <v>417</v>
          </cell>
          <cell r="C29">
            <v>268</v>
          </cell>
          <cell r="D29">
            <v>333</v>
          </cell>
          <cell r="E29">
            <v>419</v>
          </cell>
          <cell r="F29">
            <v>246</v>
          </cell>
          <cell r="G29">
            <v>250</v>
          </cell>
          <cell r="H29">
            <v>387</v>
          </cell>
          <cell r="I29">
            <v>355</v>
          </cell>
        </row>
        <row r="29">
          <cell r="M29" t="str">
            <v>湛江零跑</v>
          </cell>
          <cell r="N29">
            <v>20</v>
          </cell>
          <cell r="O29">
            <v>15</v>
          </cell>
          <cell r="P29">
            <v>24</v>
          </cell>
          <cell r="Q29">
            <v>47</v>
          </cell>
          <cell r="R29">
            <v>27</v>
          </cell>
          <cell r="S29">
            <v>26</v>
          </cell>
          <cell r="T29">
            <v>33</v>
          </cell>
          <cell r="U29">
            <v>22</v>
          </cell>
        </row>
        <row r="30">
          <cell r="A30" t="str">
            <v>江门大众</v>
          </cell>
          <cell r="B30">
            <v>1123</v>
          </cell>
          <cell r="C30">
            <v>451</v>
          </cell>
          <cell r="D30">
            <v>170</v>
          </cell>
          <cell r="E30">
            <v>104</v>
          </cell>
          <cell r="F30">
            <v>161</v>
          </cell>
          <cell r="G30">
            <v>162</v>
          </cell>
          <cell r="H30">
            <v>166</v>
          </cell>
          <cell r="I30">
            <v>177</v>
          </cell>
        </row>
        <row r="30">
          <cell r="M30" t="str">
            <v>江门大众</v>
          </cell>
          <cell r="N30">
            <v>23</v>
          </cell>
          <cell r="O30">
            <v>21</v>
          </cell>
          <cell r="P30">
            <v>10</v>
          </cell>
          <cell r="Q30">
            <v>11</v>
          </cell>
          <cell r="R30">
            <v>34</v>
          </cell>
          <cell r="S30">
            <v>24</v>
          </cell>
          <cell r="T30">
            <v>20</v>
          </cell>
          <cell r="U30">
            <v>31</v>
          </cell>
        </row>
        <row r="31">
          <cell r="A31" t="str">
            <v>鑫海广本</v>
          </cell>
        </row>
        <row r="31">
          <cell r="D31">
            <v>655</v>
          </cell>
          <cell r="E31">
            <v>500</v>
          </cell>
          <cell r="F31">
            <v>533</v>
          </cell>
          <cell r="G31">
            <v>338</v>
          </cell>
          <cell r="H31">
            <v>523</v>
          </cell>
          <cell r="I31">
            <v>311</v>
          </cell>
        </row>
        <row r="31">
          <cell r="M31" t="str">
            <v>鑫海广本</v>
          </cell>
        </row>
        <row r="31">
          <cell r="P31">
            <v>62</v>
          </cell>
          <cell r="Q31">
            <v>73</v>
          </cell>
          <cell r="R31">
            <v>80</v>
          </cell>
          <cell r="S31">
            <v>43</v>
          </cell>
          <cell r="T31">
            <v>74</v>
          </cell>
          <cell r="U31">
            <v>50</v>
          </cell>
        </row>
        <row r="32">
          <cell r="A32" t="str">
            <v>花都传祺</v>
          </cell>
        </row>
        <row r="32">
          <cell r="F32">
            <v>610</v>
          </cell>
          <cell r="G32">
            <v>1197</v>
          </cell>
          <cell r="H32">
            <v>1437</v>
          </cell>
          <cell r="I32">
            <v>767</v>
          </cell>
        </row>
        <row r="32">
          <cell r="M32" t="str">
            <v>花都传祺</v>
          </cell>
        </row>
        <row r="32">
          <cell r="R32">
            <v>17</v>
          </cell>
          <cell r="S32">
            <v>39</v>
          </cell>
          <cell r="T32">
            <v>34</v>
          </cell>
          <cell r="U32">
            <v>34</v>
          </cell>
        </row>
        <row r="36">
          <cell r="B36" t="str">
            <v>2月</v>
          </cell>
          <cell r="C36" t="str">
            <v>3月</v>
          </cell>
          <cell r="D36" t="str">
            <v>4月</v>
          </cell>
          <cell r="E36" t="str">
            <v>5月</v>
          </cell>
          <cell r="F36" t="str">
            <v>6月</v>
          </cell>
          <cell r="G36" t="str">
            <v>7月</v>
          </cell>
          <cell r="H36" t="str">
            <v>8月</v>
          </cell>
          <cell r="I36" t="str">
            <v>9月</v>
          </cell>
        </row>
        <row r="36">
          <cell r="N36" t="str">
            <v>2月</v>
          </cell>
          <cell r="O36" t="str">
            <v>3月</v>
          </cell>
          <cell r="P36" t="str">
            <v>4月</v>
          </cell>
          <cell r="Q36" t="str">
            <v>5月</v>
          </cell>
          <cell r="R36" t="str">
            <v>6月</v>
          </cell>
          <cell r="S36" t="str">
            <v>7月</v>
          </cell>
          <cell r="T36" t="str">
            <v>8月</v>
          </cell>
          <cell r="U36" t="str">
            <v>9月</v>
          </cell>
        </row>
        <row r="37">
          <cell r="A37" t="str">
            <v>花都广本</v>
          </cell>
          <cell r="B37">
            <v>1750</v>
          </cell>
          <cell r="C37">
            <v>1011</v>
          </cell>
          <cell r="D37">
            <v>1368</v>
          </cell>
          <cell r="E37">
            <v>621</v>
          </cell>
          <cell r="F37">
            <v>1172</v>
          </cell>
          <cell r="G37">
            <v>1311</v>
          </cell>
          <cell r="H37">
            <v>1149</v>
          </cell>
          <cell r="I37">
            <v>2171</v>
          </cell>
        </row>
        <row r="37">
          <cell r="M37" t="str">
            <v>花都广本</v>
          </cell>
        </row>
        <row r="38">
          <cell r="A38" t="str">
            <v>清远广本</v>
          </cell>
          <cell r="B38">
            <v>400</v>
          </cell>
          <cell r="C38">
            <v>297</v>
          </cell>
          <cell r="D38">
            <v>355</v>
          </cell>
          <cell r="E38">
            <v>344</v>
          </cell>
          <cell r="F38">
            <v>299</v>
          </cell>
          <cell r="G38">
            <v>566</v>
          </cell>
          <cell r="H38">
            <v>692</v>
          </cell>
          <cell r="I38">
            <v>1066</v>
          </cell>
        </row>
        <row r="38">
          <cell r="M38" t="str">
            <v>清远广本</v>
          </cell>
        </row>
        <row r="39">
          <cell r="A39" t="str">
            <v>白云零跑</v>
          </cell>
          <cell r="B39">
            <v>174</v>
          </cell>
          <cell r="C39">
            <v>154</v>
          </cell>
          <cell r="D39">
            <v>423</v>
          </cell>
          <cell r="E39">
            <v>433</v>
          </cell>
          <cell r="F39">
            <v>552</v>
          </cell>
          <cell r="G39">
            <v>453</v>
          </cell>
          <cell r="H39">
            <v>499</v>
          </cell>
          <cell r="I39">
            <v>955</v>
          </cell>
        </row>
        <row r="39">
          <cell r="M39" t="str">
            <v>白云零跑</v>
          </cell>
        </row>
        <row r="40">
          <cell r="A40" t="str">
            <v>花都零跑</v>
          </cell>
          <cell r="B40">
            <v>514</v>
          </cell>
          <cell r="C40">
            <v>542</v>
          </cell>
          <cell r="D40">
            <v>405</v>
          </cell>
          <cell r="E40">
            <v>393</v>
          </cell>
          <cell r="F40">
            <v>615</v>
          </cell>
          <cell r="G40">
            <v>459</v>
          </cell>
          <cell r="H40">
            <v>690</v>
          </cell>
          <cell r="I40">
            <v>625</v>
          </cell>
        </row>
        <row r="40">
          <cell r="M40" t="str">
            <v>花都零跑</v>
          </cell>
        </row>
        <row r="41">
          <cell r="A41" t="str">
            <v>番禺零跑</v>
          </cell>
          <cell r="B41">
            <v>0</v>
          </cell>
          <cell r="C41">
            <v>23</v>
          </cell>
          <cell r="D41">
            <v>314</v>
          </cell>
          <cell r="E41">
            <v>117</v>
          </cell>
          <cell r="F41">
            <v>263</v>
          </cell>
          <cell r="G41">
            <v>379</v>
          </cell>
          <cell r="H41">
            <v>398</v>
          </cell>
          <cell r="I41">
            <v>206</v>
          </cell>
        </row>
        <row r="41">
          <cell r="M41" t="str">
            <v>番禺零跑</v>
          </cell>
        </row>
        <row r="42">
          <cell r="A42" t="str">
            <v>河源零跑</v>
          </cell>
          <cell r="B42">
            <v>622</v>
          </cell>
          <cell r="C42">
            <v>461</v>
          </cell>
          <cell r="D42">
            <v>432</v>
          </cell>
          <cell r="E42">
            <v>339</v>
          </cell>
          <cell r="F42">
            <v>305</v>
          </cell>
          <cell r="G42">
            <v>399</v>
          </cell>
          <cell r="H42">
            <v>409</v>
          </cell>
          <cell r="I42">
            <v>334</v>
          </cell>
        </row>
        <row r="42">
          <cell r="M42" t="str">
            <v>河源零跑</v>
          </cell>
        </row>
        <row r="43">
          <cell r="A43" t="str">
            <v>汕头零跑</v>
          </cell>
          <cell r="B43">
            <v>71</v>
          </cell>
          <cell r="C43">
            <v>253</v>
          </cell>
          <cell r="D43">
            <v>370</v>
          </cell>
          <cell r="E43">
            <v>428</v>
          </cell>
          <cell r="F43">
            <v>460</v>
          </cell>
          <cell r="G43">
            <v>501</v>
          </cell>
          <cell r="H43">
            <v>709</v>
          </cell>
          <cell r="I43">
            <v>607</v>
          </cell>
        </row>
        <row r="43">
          <cell r="M43" t="str">
            <v>汕头零跑</v>
          </cell>
        </row>
        <row r="44">
          <cell r="A44" t="str">
            <v>清远零跑</v>
          </cell>
          <cell r="B44">
            <v>18</v>
          </cell>
          <cell r="C44">
            <v>66</v>
          </cell>
          <cell r="D44">
            <v>159</v>
          </cell>
          <cell r="E44">
            <v>192</v>
          </cell>
          <cell r="F44">
            <v>232</v>
          </cell>
          <cell r="G44">
            <v>296</v>
          </cell>
          <cell r="H44">
            <v>374</v>
          </cell>
          <cell r="I44">
            <v>418</v>
          </cell>
        </row>
        <row r="44">
          <cell r="M44" t="str">
            <v>清远零跑</v>
          </cell>
        </row>
        <row r="45">
          <cell r="A45" t="str">
            <v>湛江零跑</v>
          </cell>
          <cell r="B45">
            <v>20</v>
          </cell>
          <cell r="C45">
            <v>3</v>
          </cell>
          <cell r="D45">
            <v>107</v>
          </cell>
          <cell r="E45">
            <v>206</v>
          </cell>
          <cell r="F45">
            <v>206</v>
          </cell>
          <cell r="G45">
            <v>161</v>
          </cell>
          <cell r="H45">
            <v>145</v>
          </cell>
          <cell r="I45">
            <v>145</v>
          </cell>
        </row>
        <row r="45">
          <cell r="M45" t="str">
            <v>湛江零跑</v>
          </cell>
        </row>
        <row r="46">
          <cell r="A46" t="str">
            <v>江门大众</v>
          </cell>
          <cell r="B46">
            <v>235</v>
          </cell>
          <cell r="C46">
            <v>151</v>
          </cell>
          <cell r="D46">
            <v>77</v>
          </cell>
          <cell r="E46">
            <v>35</v>
          </cell>
          <cell r="F46">
            <v>99</v>
          </cell>
          <cell r="G46">
            <v>120</v>
          </cell>
          <cell r="H46">
            <v>111</v>
          </cell>
          <cell r="I46">
            <v>125</v>
          </cell>
        </row>
        <row r="46">
          <cell r="M46" t="str">
            <v>江门大众</v>
          </cell>
        </row>
        <row r="47">
          <cell r="A47" t="str">
            <v>鑫海广本</v>
          </cell>
        </row>
        <row r="47">
          <cell r="D47">
            <v>431</v>
          </cell>
          <cell r="E47">
            <v>399</v>
          </cell>
          <cell r="F47">
            <v>460</v>
          </cell>
          <cell r="G47">
            <v>285</v>
          </cell>
          <cell r="H47">
            <v>433</v>
          </cell>
          <cell r="I47">
            <v>256</v>
          </cell>
        </row>
        <row r="47">
          <cell r="M47" t="str">
            <v>鑫海广本</v>
          </cell>
        </row>
        <row r="48">
          <cell r="A48" t="str">
            <v>花都传祺</v>
          </cell>
        </row>
        <row r="48">
          <cell r="F48">
            <v>211</v>
          </cell>
          <cell r="G48">
            <v>594</v>
          </cell>
          <cell r="H48">
            <v>721</v>
          </cell>
          <cell r="I48">
            <v>495</v>
          </cell>
        </row>
        <row r="48">
          <cell r="M48" t="str">
            <v>花都传祺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目标数据"/>
      <sheetName val="核心指标进度表"/>
      <sheetName val="总表-数据收集"/>
      <sheetName val="周数据对比"/>
      <sheetName val="月度数据对比"/>
      <sheetName val="Sheet2"/>
    </sheetNames>
    <sheetDataSet>
      <sheetData sheetId="0"/>
      <sheetData sheetId="1"/>
      <sheetData sheetId="2"/>
      <sheetData sheetId="3"/>
      <sheetData sheetId="4">
        <row r="1">
          <cell r="B1" t="str">
            <v>每月订单对比</v>
          </cell>
        </row>
        <row r="2">
          <cell r="B2" t="str">
            <v>店名</v>
          </cell>
          <cell r="C2" t="str">
            <v>2月</v>
          </cell>
          <cell r="D2" t="str">
            <v>3月</v>
          </cell>
          <cell r="E2" t="str">
            <v>4月</v>
          </cell>
          <cell r="F2" t="str">
            <v>5月</v>
          </cell>
          <cell r="G2" t="str">
            <v>6月</v>
          </cell>
          <cell r="H2" t="str">
            <v>7月</v>
          </cell>
          <cell r="I2" t="str">
            <v>8月</v>
          </cell>
        </row>
        <row r="2">
          <cell r="O2" t="str">
            <v>店名</v>
          </cell>
          <cell r="P2" t="str">
            <v>2月</v>
          </cell>
          <cell r="Q2" t="str">
            <v>3月</v>
          </cell>
          <cell r="R2" t="str">
            <v>4月</v>
          </cell>
          <cell r="S2" t="str">
            <v>5月</v>
          </cell>
          <cell r="T2" t="str">
            <v>6月</v>
          </cell>
          <cell r="U2" t="str">
            <v>7月</v>
          </cell>
          <cell r="V2" t="str">
            <v>8月</v>
          </cell>
        </row>
        <row r="3">
          <cell r="B3" t="str">
            <v>花都广本</v>
          </cell>
          <cell r="C3">
            <v>52</v>
          </cell>
          <cell r="D3">
            <v>24</v>
          </cell>
          <cell r="E3">
            <v>55</v>
          </cell>
          <cell r="F3">
            <v>37</v>
          </cell>
          <cell r="G3">
            <v>43</v>
          </cell>
          <cell r="H3">
            <v>28</v>
          </cell>
          <cell r="I3">
            <v>30</v>
          </cell>
        </row>
        <row r="3">
          <cell r="O3" t="str">
            <v>花都广本</v>
          </cell>
          <cell r="P3">
            <v>0.25</v>
          </cell>
          <cell r="Q3">
            <v>0.205</v>
          </cell>
          <cell r="R3">
            <v>0.21</v>
          </cell>
          <cell r="S3">
            <v>0.26</v>
          </cell>
          <cell r="T3">
            <v>0.29</v>
          </cell>
          <cell r="U3">
            <v>0.25</v>
          </cell>
          <cell r="V3">
            <v>0.24</v>
          </cell>
        </row>
        <row r="4">
          <cell r="B4" t="str">
            <v>清远广本</v>
          </cell>
          <cell r="C4">
            <v>20</v>
          </cell>
          <cell r="D4">
            <v>9</v>
          </cell>
          <cell r="E4">
            <v>18</v>
          </cell>
          <cell r="F4">
            <v>20</v>
          </cell>
          <cell r="G4">
            <v>20</v>
          </cell>
          <cell r="H4">
            <v>13</v>
          </cell>
          <cell r="I4">
            <v>19</v>
          </cell>
        </row>
        <row r="4">
          <cell r="O4" t="str">
            <v>清远广本</v>
          </cell>
          <cell r="P4">
            <v>0.162</v>
          </cell>
          <cell r="Q4">
            <v>0.128</v>
          </cell>
          <cell r="R4">
            <v>0.25</v>
          </cell>
          <cell r="S4">
            <v>0.169</v>
          </cell>
          <cell r="T4">
            <v>0.168</v>
          </cell>
          <cell r="U4">
            <v>0.2</v>
          </cell>
          <cell r="V4">
            <v>0.194</v>
          </cell>
        </row>
        <row r="5">
          <cell r="B5" t="str">
            <v>白云零跑</v>
          </cell>
          <cell r="C5">
            <v>4</v>
          </cell>
          <cell r="D5">
            <v>3</v>
          </cell>
          <cell r="E5">
            <v>11</v>
          </cell>
          <cell r="F5">
            <v>16</v>
          </cell>
          <cell r="G5">
            <v>9</v>
          </cell>
          <cell r="H5">
            <v>12</v>
          </cell>
          <cell r="I5">
            <v>20</v>
          </cell>
        </row>
        <row r="5">
          <cell r="O5" t="str">
            <v>白云零跑</v>
          </cell>
          <cell r="P5">
            <v>0.07</v>
          </cell>
        </row>
        <row r="5">
          <cell r="R5">
            <v>0.2</v>
          </cell>
          <cell r="S5">
            <v>0.333</v>
          </cell>
          <cell r="T5">
            <v>0.05</v>
          </cell>
          <cell r="U5">
            <v>0.15</v>
          </cell>
          <cell r="V5">
            <v>0.171</v>
          </cell>
        </row>
        <row r="6">
          <cell r="B6" t="str">
            <v>花都零跑</v>
          </cell>
          <cell r="C6">
            <v>17</v>
          </cell>
          <cell r="D6">
            <v>13</v>
          </cell>
          <cell r="E6">
            <v>9</v>
          </cell>
          <cell r="F6">
            <v>12</v>
          </cell>
          <cell r="G6">
            <v>11</v>
          </cell>
          <cell r="H6">
            <v>9</v>
          </cell>
          <cell r="I6">
            <v>14</v>
          </cell>
        </row>
        <row r="6">
          <cell r="O6" t="str">
            <v>花都零跑</v>
          </cell>
          <cell r="P6">
            <v>0.153</v>
          </cell>
          <cell r="Q6">
            <v>0.135</v>
          </cell>
          <cell r="R6">
            <v>0.143</v>
          </cell>
          <cell r="S6">
            <v>0.286</v>
          </cell>
          <cell r="T6">
            <v>0.08</v>
          </cell>
          <cell r="U6">
            <v>0.1</v>
          </cell>
          <cell r="V6">
            <v>0.009</v>
          </cell>
        </row>
        <row r="7">
          <cell r="B7" t="str">
            <v>番禺零跑</v>
          </cell>
          <cell r="C7">
            <v>0</v>
          </cell>
          <cell r="D7">
            <v>0</v>
          </cell>
          <cell r="E7">
            <v>6</v>
          </cell>
          <cell r="F7">
            <v>11</v>
          </cell>
          <cell r="G7">
            <v>9</v>
          </cell>
          <cell r="H7">
            <v>6</v>
          </cell>
          <cell r="I7">
            <v>3</v>
          </cell>
        </row>
        <row r="7">
          <cell r="O7" t="str">
            <v>番禺零跑</v>
          </cell>
          <cell r="P7">
            <v>0</v>
          </cell>
        </row>
        <row r="7">
          <cell r="R7">
            <v>0.18</v>
          </cell>
          <cell r="S7">
            <v>0.333</v>
          </cell>
          <cell r="T7">
            <v>0.23</v>
          </cell>
          <cell r="U7">
            <v>0.2</v>
          </cell>
          <cell r="V7">
            <v>0</v>
          </cell>
        </row>
        <row r="8">
          <cell r="B8" t="str">
            <v>河源零跑</v>
          </cell>
          <cell r="C8">
            <v>11</v>
          </cell>
          <cell r="D8">
            <v>5</v>
          </cell>
          <cell r="E8">
            <v>9</v>
          </cell>
          <cell r="F8">
            <v>14</v>
          </cell>
          <cell r="G8">
            <v>10</v>
          </cell>
          <cell r="H8">
            <v>22</v>
          </cell>
          <cell r="I8">
            <v>12</v>
          </cell>
        </row>
        <row r="8">
          <cell r="O8" t="str">
            <v>河源零跑</v>
          </cell>
          <cell r="P8">
            <v>0.133</v>
          </cell>
          <cell r="Q8">
            <v>0.033</v>
          </cell>
          <cell r="R8">
            <v>0.175</v>
          </cell>
          <cell r="S8">
            <v>0.154</v>
          </cell>
          <cell r="T8">
            <v>0.09</v>
          </cell>
          <cell r="U8">
            <v>0.24</v>
          </cell>
          <cell r="V8">
            <v>0.15</v>
          </cell>
        </row>
        <row r="9">
          <cell r="B9" t="str">
            <v>汕头零跑</v>
          </cell>
          <cell r="C9">
            <v>13</v>
          </cell>
          <cell r="D9">
            <v>13</v>
          </cell>
          <cell r="E9">
            <v>9</v>
          </cell>
          <cell r="F9">
            <v>16</v>
          </cell>
          <cell r="G9">
            <v>19</v>
          </cell>
          <cell r="H9">
            <v>21</v>
          </cell>
          <cell r="I9">
            <v>23</v>
          </cell>
        </row>
        <row r="9">
          <cell r="O9" t="str">
            <v>汕头零跑</v>
          </cell>
          <cell r="P9">
            <v>0.2</v>
          </cell>
          <cell r="Q9">
            <v>0.23</v>
          </cell>
          <cell r="R9">
            <v>0.1</v>
          </cell>
          <cell r="S9">
            <v>0.185</v>
          </cell>
          <cell r="T9">
            <v>0.2</v>
          </cell>
          <cell r="U9">
            <v>0.2</v>
          </cell>
          <cell r="V9">
            <v>0.185</v>
          </cell>
        </row>
        <row r="10">
          <cell r="B10" t="str">
            <v>清远零跑</v>
          </cell>
          <cell r="C10">
            <v>8</v>
          </cell>
          <cell r="D10">
            <v>6</v>
          </cell>
          <cell r="E10">
            <v>5</v>
          </cell>
          <cell r="F10">
            <v>8</v>
          </cell>
          <cell r="G10">
            <v>9</v>
          </cell>
          <cell r="H10">
            <v>14</v>
          </cell>
          <cell r="I10">
            <v>12</v>
          </cell>
        </row>
        <row r="10">
          <cell r="O10" t="str">
            <v>清远零跑</v>
          </cell>
          <cell r="P10">
            <v>0.07</v>
          </cell>
          <cell r="Q10">
            <v>0.15</v>
          </cell>
          <cell r="R10">
            <v>0.09</v>
          </cell>
          <cell r="S10">
            <v>0.069</v>
          </cell>
          <cell r="T10">
            <v>0.072</v>
          </cell>
          <cell r="U10">
            <v>0.1</v>
          </cell>
          <cell r="V10">
            <v>0.1</v>
          </cell>
        </row>
        <row r="11">
          <cell r="B11" t="str">
            <v>湛江零跑</v>
          </cell>
          <cell r="C11">
            <v>10</v>
          </cell>
          <cell r="D11">
            <v>3</v>
          </cell>
          <cell r="E11">
            <v>3</v>
          </cell>
          <cell r="F11">
            <v>4</v>
          </cell>
          <cell r="G11">
            <v>5</v>
          </cell>
          <cell r="H11">
            <v>5</v>
          </cell>
          <cell r="I11">
            <v>7</v>
          </cell>
        </row>
        <row r="11">
          <cell r="O11" t="str">
            <v>湛江零跑</v>
          </cell>
          <cell r="P11">
            <v>0.26</v>
          </cell>
          <cell r="Q11">
            <v>0.1</v>
          </cell>
          <cell r="R11">
            <v>0.117</v>
          </cell>
          <cell r="S11">
            <v>0.138</v>
          </cell>
          <cell r="T11">
            <v>0.084</v>
          </cell>
          <cell r="U11">
            <v>0.15</v>
          </cell>
          <cell r="V11">
            <v>0.1</v>
          </cell>
        </row>
        <row r="12">
          <cell r="B12" t="str">
            <v>江门大众</v>
          </cell>
          <cell r="C12">
            <v>6</v>
          </cell>
          <cell r="D12">
            <v>10</v>
          </cell>
          <cell r="E12">
            <v>5</v>
          </cell>
          <cell r="F12">
            <v>4</v>
          </cell>
          <cell r="G12">
            <v>15</v>
          </cell>
          <cell r="H12">
            <v>8</v>
          </cell>
          <cell r="I12">
            <v>8</v>
          </cell>
        </row>
        <row r="12">
          <cell r="O12" t="str">
            <v>江门大众</v>
          </cell>
          <cell r="P12">
            <v>0</v>
          </cell>
          <cell r="Q12">
            <v>0.1</v>
          </cell>
          <cell r="R12">
            <v>0.05</v>
          </cell>
          <cell r="S12">
            <v>0.06</v>
          </cell>
          <cell r="T12">
            <v>0.06</v>
          </cell>
          <cell r="U12">
            <v>0.1</v>
          </cell>
          <cell r="V12">
            <v>0.002</v>
          </cell>
        </row>
        <row r="13">
          <cell r="B13" t="str">
            <v>鑫海广本</v>
          </cell>
        </row>
        <row r="13">
          <cell r="E13">
            <v>12</v>
          </cell>
          <cell r="F13">
            <v>13</v>
          </cell>
          <cell r="G13">
            <v>20</v>
          </cell>
          <cell r="H13">
            <v>9</v>
          </cell>
          <cell r="I13">
            <v>16</v>
          </cell>
        </row>
        <row r="13">
          <cell r="O13" t="str">
            <v>鑫海广本</v>
          </cell>
        </row>
        <row r="13">
          <cell r="R13">
            <v>0.2</v>
          </cell>
          <cell r="S13">
            <v>0.2</v>
          </cell>
          <cell r="T13">
            <v>0.2</v>
          </cell>
          <cell r="U13">
            <v>0.15</v>
          </cell>
          <cell r="V13">
            <v>0.15</v>
          </cell>
        </row>
        <row r="14">
          <cell r="B14" t="str">
            <v>花都传祺</v>
          </cell>
        </row>
        <row r="14">
          <cell r="G14">
            <v>1</v>
          </cell>
          <cell r="H14">
            <v>4</v>
          </cell>
          <cell r="I14">
            <v>6</v>
          </cell>
        </row>
        <row r="14">
          <cell r="O14" t="str">
            <v>花都传祺</v>
          </cell>
        </row>
        <row r="14">
          <cell r="T14">
            <v>0</v>
          </cell>
          <cell r="U14">
            <v>0.2</v>
          </cell>
          <cell r="V14">
            <v>0.15</v>
          </cell>
        </row>
        <row r="19">
          <cell r="B19" t="str">
            <v>每月总线索</v>
          </cell>
        </row>
        <row r="19">
          <cell r="O19" t="str">
            <v>每月总到店数据</v>
          </cell>
        </row>
        <row r="20">
          <cell r="B20" t="str">
            <v>店名</v>
          </cell>
          <cell r="C20" t="str">
            <v>2月</v>
          </cell>
          <cell r="D20" t="str">
            <v>3月</v>
          </cell>
          <cell r="E20" t="str">
            <v>4月</v>
          </cell>
          <cell r="F20" t="str">
            <v>5月</v>
          </cell>
          <cell r="G20" t="str">
            <v>6月</v>
          </cell>
          <cell r="H20" t="str">
            <v>7月</v>
          </cell>
          <cell r="I20" t="str">
            <v>8月</v>
          </cell>
        </row>
        <row r="20">
          <cell r="O20" t="str">
            <v>店名</v>
          </cell>
          <cell r="P20" t="str">
            <v>2月</v>
          </cell>
          <cell r="Q20" t="str">
            <v>3月</v>
          </cell>
          <cell r="R20" t="str">
            <v>4月</v>
          </cell>
          <cell r="S20" t="str">
            <v>5月</v>
          </cell>
          <cell r="T20" t="str">
            <v>6月</v>
          </cell>
          <cell r="U20" t="str">
            <v>7月</v>
          </cell>
          <cell r="V20" t="str">
            <v>8月</v>
          </cell>
        </row>
        <row r="21">
          <cell r="B21" t="str">
            <v>花都广本</v>
          </cell>
          <cell r="C21">
            <v>2549</v>
          </cell>
          <cell r="D21">
            <v>1396</v>
          </cell>
          <cell r="E21">
            <v>1992</v>
          </cell>
          <cell r="F21">
            <v>775</v>
          </cell>
          <cell r="G21">
            <v>1429</v>
          </cell>
          <cell r="H21">
            <v>1561</v>
          </cell>
          <cell r="I21">
            <v>1537</v>
          </cell>
        </row>
        <row r="21">
          <cell r="O21" t="str">
            <v>花都广本</v>
          </cell>
          <cell r="P21">
            <v>136</v>
          </cell>
          <cell r="Q21">
            <v>77</v>
          </cell>
          <cell r="R21">
            <v>113</v>
          </cell>
          <cell r="S21">
            <v>63</v>
          </cell>
          <cell r="T21">
            <v>86</v>
          </cell>
          <cell r="U21">
            <v>65</v>
          </cell>
          <cell r="V21">
            <v>69</v>
          </cell>
        </row>
        <row r="22">
          <cell r="B22" t="str">
            <v>清远广本</v>
          </cell>
          <cell r="C22">
            <v>1260</v>
          </cell>
          <cell r="D22">
            <v>635</v>
          </cell>
          <cell r="E22">
            <v>754</v>
          </cell>
          <cell r="F22">
            <v>680</v>
          </cell>
          <cell r="G22">
            <v>744</v>
          </cell>
          <cell r="H22">
            <v>930</v>
          </cell>
          <cell r="I22">
            <v>1040</v>
          </cell>
        </row>
        <row r="22">
          <cell r="O22" t="str">
            <v>清远广本</v>
          </cell>
          <cell r="P22">
            <v>77</v>
          </cell>
          <cell r="Q22">
            <v>34</v>
          </cell>
          <cell r="R22">
            <v>45</v>
          </cell>
          <cell r="S22">
            <v>65</v>
          </cell>
          <cell r="T22">
            <v>65</v>
          </cell>
          <cell r="U22">
            <v>67</v>
          </cell>
          <cell r="V22">
            <v>79</v>
          </cell>
        </row>
        <row r="23">
          <cell r="B23" t="str">
            <v>白云零跑</v>
          </cell>
          <cell r="C23">
            <v>369</v>
          </cell>
          <cell r="D23">
            <v>190</v>
          </cell>
          <cell r="E23">
            <v>608</v>
          </cell>
          <cell r="F23">
            <v>548</v>
          </cell>
          <cell r="G23">
            <v>590</v>
          </cell>
          <cell r="H23">
            <v>565</v>
          </cell>
          <cell r="I23">
            <v>654</v>
          </cell>
        </row>
        <row r="23">
          <cell r="O23" t="str">
            <v>白云零跑</v>
          </cell>
          <cell r="P23">
            <v>18</v>
          </cell>
          <cell r="Q23">
            <v>7</v>
          </cell>
          <cell r="R23">
            <v>42</v>
          </cell>
          <cell r="S23">
            <v>56</v>
          </cell>
          <cell r="T23">
            <v>44</v>
          </cell>
          <cell r="U23">
            <v>34</v>
          </cell>
          <cell r="V23">
            <v>60</v>
          </cell>
        </row>
        <row r="24">
          <cell r="B24" t="str">
            <v>花都零跑</v>
          </cell>
          <cell r="C24">
            <v>782</v>
          </cell>
          <cell r="D24">
            <v>632</v>
          </cell>
          <cell r="E24">
            <v>635</v>
          </cell>
          <cell r="F24">
            <v>570</v>
          </cell>
          <cell r="G24">
            <v>816</v>
          </cell>
          <cell r="H24">
            <v>641</v>
          </cell>
          <cell r="I24">
            <v>830</v>
          </cell>
        </row>
        <row r="24">
          <cell r="O24" t="str">
            <v>花都零跑</v>
          </cell>
          <cell r="P24">
            <v>32</v>
          </cell>
          <cell r="Q24">
            <v>30</v>
          </cell>
          <cell r="R24">
            <v>29</v>
          </cell>
          <cell r="S24">
            <v>17</v>
          </cell>
          <cell r="T24">
            <v>32</v>
          </cell>
          <cell r="U24">
            <v>24</v>
          </cell>
          <cell r="V24">
            <v>51</v>
          </cell>
        </row>
        <row r="25">
          <cell r="B25" t="str">
            <v>番禺零跑</v>
          </cell>
          <cell r="C25">
            <v>15</v>
          </cell>
          <cell r="D25">
            <v>32</v>
          </cell>
          <cell r="E25">
            <v>429</v>
          </cell>
          <cell r="F25">
            <v>147</v>
          </cell>
          <cell r="G25">
            <v>369</v>
          </cell>
          <cell r="H25">
            <v>536</v>
          </cell>
          <cell r="I25">
            <v>462</v>
          </cell>
        </row>
        <row r="25">
          <cell r="O25" t="str">
            <v>番禺零跑</v>
          </cell>
          <cell r="P25">
            <v>3</v>
          </cell>
          <cell r="Q25">
            <v>11</v>
          </cell>
          <cell r="R25">
            <v>29</v>
          </cell>
          <cell r="S25">
            <v>24</v>
          </cell>
          <cell r="T25">
            <v>20</v>
          </cell>
          <cell r="U25">
            <v>13</v>
          </cell>
          <cell r="V25">
            <v>4</v>
          </cell>
        </row>
        <row r="26">
          <cell r="B26" t="str">
            <v>河源零跑</v>
          </cell>
          <cell r="C26">
            <v>853</v>
          </cell>
          <cell r="D26">
            <v>605</v>
          </cell>
          <cell r="E26">
            <v>520</v>
          </cell>
          <cell r="F26">
            <v>432</v>
          </cell>
          <cell r="G26">
            <v>401</v>
          </cell>
          <cell r="H26">
            <v>514</v>
          </cell>
          <cell r="I26">
            <v>525</v>
          </cell>
        </row>
        <row r="26">
          <cell r="O26" t="str">
            <v>河源零跑</v>
          </cell>
          <cell r="P26">
            <v>45</v>
          </cell>
          <cell r="Q26">
            <v>45</v>
          </cell>
          <cell r="R26">
            <v>51</v>
          </cell>
          <cell r="S26">
            <v>61</v>
          </cell>
          <cell r="T26">
            <v>40</v>
          </cell>
          <cell r="U26">
            <v>89</v>
          </cell>
          <cell r="V26">
            <v>89</v>
          </cell>
        </row>
        <row r="27">
          <cell r="B27" t="str">
            <v>汕头零跑</v>
          </cell>
          <cell r="C27">
            <v>396</v>
          </cell>
          <cell r="D27">
            <v>527</v>
          </cell>
          <cell r="E27">
            <v>615</v>
          </cell>
          <cell r="F27">
            <v>721</v>
          </cell>
          <cell r="G27">
            <v>655</v>
          </cell>
          <cell r="H27">
            <v>653</v>
          </cell>
          <cell r="I27">
            <v>870</v>
          </cell>
        </row>
        <row r="27">
          <cell r="O27" t="str">
            <v>汕头零跑</v>
          </cell>
          <cell r="P27">
            <v>25</v>
          </cell>
          <cell r="Q27">
            <v>32</v>
          </cell>
          <cell r="R27">
            <v>70</v>
          </cell>
          <cell r="S27">
            <v>68</v>
          </cell>
          <cell r="T27">
            <v>86</v>
          </cell>
          <cell r="U27">
            <v>107</v>
          </cell>
          <cell r="V27">
            <v>108</v>
          </cell>
        </row>
        <row r="28">
          <cell r="B28" t="str">
            <v>清远零跑</v>
          </cell>
          <cell r="C28">
            <v>364</v>
          </cell>
          <cell r="D28">
            <v>198</v>
          </cell>
          <cell r="E28">
            <v>247</v>
          </cell>
          <cell r="F28">
            <v>305</v>
          </cell>
          <cell r="G28">
            <v>425</v>
          </cell>
          <cell r="H28">
            <v>499</v>
          </cell>
          <cell r="I28">
            <v>682</v>
          </cell>
        </row>
        <row r="28">
          <cell r="O28" t="str">
            <v>清远零跑</v>
          </cell>
          <cell r="P28">
            <v>17</v>
          </cell>
          <cell r="Q28">
            <v>14</v>
          </cell>
          <cell r="R28">
            <v>16</v>
          </cell>
          <cell r="S28">
            <v>25</v>
          </cell>
          <cell r="T28">
            <v>28</v>
          </cell>
          <cell r="U28">
            <v>37</v>
          </cell>
          <cell r="V28">
            <v>19</v>
          </cell>
        </row>
        <row r="29">
          <cell r="B29" t="str">
            <v>湛江零跑</v>
          </cell>
          <cell r="C29">
            <v>417</v>
          </cell>
          <cell r="D29">
            <v>268</v>
          </cell>
          <cell r="E29">
            <v>333</v>
          </cell>
          <cell r="F29">
            <v>419</v>
          </cell>
          <cell r="G29">
            <v>246</v>
          </cell>
          <cell r="H29">
            <v>250</v>
          </cell>
          <cell r="I29">
            <v>387</v>
          </cell>
        </row>
        <row r="29">
          <cell r="O29" t="str">
            <v>湛江零跑</v>
          </cell>
          <cell r="P29">
            <v>20</v>
          </cell>
          <cell r="Q29">
            <v>15</v>
          </cell>
          <cell r="R29">
            <v>24</v>
          </cell>
          <cell r="S29">
            <v>47</v>
          </cell>
          <cell r="T29">
            <v>27</v>
          </cell>
          <cell r="U29">
            <v>26</v>
          </cell>
          <cell r="V29">
            <v>33</v>
          </cell>
        </row>
        <row r="30">
          <cell r="B30" t="str">
            <v>江门大众</v>
          </cell>
          <cell r="C30">
            <v>486</v>
          </cell>
          <cell r="D30">
            <v>451</v>
          </cell>
          <cell r="E30">
            <v>170</v>
          </cell>
          <cell r="F30">
            <v>104</v>
          </cell>
          <cell r="G30">
            <v>161</v>
          </cell>
          <cell r="H30">
            <v>162</v>
          </cell>
          <cell r="I30">
            <v>166</v>
          </cell>
        </row>
        <row r="30">
          <cell r="O30" t="str">
            <v>江门大众</v>
          </cell>
          <cell r="P30">
            <v>23</v>
          </cell>
          <cell r="Q30">
            <v>21</v>
          </cell>
          <cell r="R30">
            <v>10</v>
          </cell>
          <cell r="S30">
            <v>11</v>
          </cell>
          <cell r="T30">
            <v>34</v>
          </cell>
          <cell r="U30">
            <v>24</v>
          </cell>
          <cell r="V30">
            <v>20</v>
          </cell>
        </row>
        <row r="31">
          <cell r="B31" t="str">
            <v>鑫海广本</v>
          </cell>
        </row>
        <row r="31">
          <cell r="E31">
            <v>655</v>
          </cell>
          <cell r="F31">
            <v>500</v>
          </cell>
          <cell r="G31">
            <v>533</v>
          </cell>
          <cell r="H31">
            <v>338</v>
          </cell>
          <cell r="I31">
            <v>523</v>
          </cell>
        </row>
        <row r="31">
          <cell r="O31" t="str">
            <v>鑫海广本</v>
          </cell>
        </row>
        <row r="31">
          <cell r="R31">
            <v>62</v>
          </cell>
          <cell r="S31">
            <v>73</v>
          </cell>
          <cell r="T31">
            <v>80</v>
          </cell>
          <cell r="U31">
            <v>43</v>
          </cell>
          <cell r="V31">
            <v>74</v>
          </cell>
        </row>
        <row r="35">
          <cell r="B35" t="str">
            <v>付费流线索数</v>
          </cell>
        </row>
        <row r="36">
          <cell r="B36" t="str">
            <v>店名</v>
          </cell>
          <cell r="C36" t="str">
            <v>2月</v>
          </cell>
          <cell r="D36" t="str">
            <v>3月</v>
          </cell>
          <cell r="E36" t="str">
            <v>4月</v>
          </cell>
          <cell r="F36" t="str">
            <v>5月</v>
          </cell>
          <cell r="G36" t="str">
            <v>6月</v>
          </cell>
          <cell r="H36" t="str">
            <v>7月</v>
          </cell>
          <cell r="I36" t="str">
            <v>8月</v>
          </cell>
        </row>
        <row r="37">
          <cell r="B37" t="str">
            <v>花都广本</v>
          </cell>
          <cell r="C37">
            <v>1750</v>
          </cell>
          <cell r="D37">
            <v>1011</v>
          </cell>
          <cell r="E37">
            <v>1368</v>
          </cell>
          <cell r="F37">
            <v>621</v>
          </cell>
          <cell r="G37">
            <v>1172</v>
          </cell>
          <cell r="H37">
            <v>1311</v>
          </cell>
          <cell r="I37">
            <v>1149</v>
          </cell>
        </row>
        <row r="38">
          <cell r="B38" t="str">
            <v>清远广本</v>
          </cell>
          <cell r="C38">
            <v>400</v>
          </cell>
          <cell r="D38">
            <v>297</v>
          </cell>
          <cell r="E38">
            <v>355</v>
          </cell>
          <cell r="F38">
            <v>344</v>
          </cell>
          <cell r="G38">
            <v>299</v>
          </cell>
          <cell r="H38">
            <v>566</v>
          </cell>
          <cell r="I38">
            <v>692</v>
          </cell>
        </row>
        <row r="39">
          <cell r="B39" t="str">
            <v>白云零跑</v>
          </cell>
          <cell r="C39">
            <v>174</v>
          </cell>
          <cell r="D39">
            <v>154</v>
          </cell>
          <cell r="E39">
            <v>423</v>
          </cell>
          <cell r="F39">
            <v>433</v>
          </cell>
          <cell r="G39">
            <v>552</v>
          </cell>
          <cell r="H39">
            <v>453</v>
          </cell>
          <cell r="I39">
            <v>499</v>
          </cell>
        </row>
        <row r="40">
          <cell r="B40" t="str">
            <v>花都零跑</v>
          </cell>
          <cell r="C40">
            <v>514</v>
          </cell>
          <cell r="D40">
            <v>542</v>
          </cell>
          <cell r="E40">
            <v>405</v>
          </cell>
          <cell r="F40">
            <v>393</v>
          </cell>
          <cell r="G40">
            <v>615</v>
          </cell>
          <cell r="H40">
            <v>459</v>
          </cell>
          <cell r="I40">
            <v>690</v>
          </cell>
        </row>
        <row r="41">
          <cell r="B41" t="str">
            <v>番禺零跑</v>
          </cell>
          <cell r="C41">
            <v>0</v>
          </cell>
          <cell r="D41">
            <v>23</v>
          </cell>
          <cell r="E41">
            <v>314</v>
          </cell>
          <cell r="F41">
            <v>117</v>
          </cell>
          <cell r="G41">
            <v>263</v>
          </cell>
          <cell r="H41">
            <v>379</v>
          </cell>
          <cell r="I41">
            <v>398</v>
          </cell>
        </row>
        <row r="42">
          <cell r="B42" t="str">
            <v>河源零跑</v>
          </cell>
          <cell r="C42">
            <v>622</v>
          </cell>
          <cell r="D42">
            <v>461</v>
          </cell>
          <cell r="E42">
            <v>432</v>
          </cell>
          <cell r="F42">
            <v>339</v>
          </cell>
          <cell r="G42">
            <v>305</v>
          </cell>
          <cell r="H42">
            <v>399</v>
          </cell>
          <cell r="I42">
            <v>409</v>
          </cell>
        </row>
        <row r="43">
          <cell r="B43" t="str">
            <v>汕头零跑</v>
          </cell>
          <cell r="C43">
            <v>71</v>
          </cell>
          <cell r="D43">
            <v>253</v>
          </cell>
          <cell r="E43">
            <v>370</v>
          </cell>
          <cell r="F43">
            <v>428</v>
          </cell>
          <cell r="G43">
            <v>460</v>
          </cell>
          <cell r="H43">
            <v>501</v>
          </cell>
          <cell r="I43">
            <v>709</v>
          </cell>
        </row>
        <row r="44">
          <cell r="B44" t="str">
            <v>清远零跑</v>
          </cell>
          <cell r="C44">
            <v>18</v>
          </cell>
          <cell r="D44">
            <v>66</v>
          </cell>
          <cell r="E44">
            <v>159</v>
          </cell>
          <cell r="F44">
            <v>192</v>
          </cell>
          <cell r="G44">
            <v>232</v>
          </cell>
          <cell r="H44">
            <v>296</v>
          </cell>
          <cell r="I44">
            <v>374</v>
          </cell>
        </row>
        <row r="45">
          <cell r="B45" t="str">
            <v>湛江零跑</v>
          </cell>
          <cell r="C45">
            <v>20</v>
          </cell>
          <cell r="D45">
            <v>3</v>
          </cell>
          <cell r="E45">
            <v>107</v>
          </cell>
          <cell r="F45">
            <v>206</v>
          </cell>
          <cell r="G45">
            <v>206</v>
          </cell>
          <cell r="H45">
            <v>161</v>
          </cell>
          <cell r="I45">
            <v>145</v>
          </cell>
        </row>
        <row r="46">
          <cell r="B46" t="str">
            <v>江门大众</v>
          </cell>
          <cell r="C46">
            <v>166</v>
          </cell>
          <cell r="D46">
            <v>151</v>
          </cell>
          <cell r="E46">
            <v>77</v>
          </cell>
          <cell r="F46">
            <v>35</v>
          </cell>
          <cell r="G46">
            <v>99</v>
          </cell>
          <cell r="H46">
            <v>120</v>
          </cell>
          <cell r="I46">
            <v>111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目标数据"/>
      <sheetName val="核心指标进度表"/>
      <sheetName val="总表-数据收集"/>
      <sheetName val="数据2"/>
      <sheetName val="周数据对比1"/>
      <sheetName val="周数据对比2"/>
      <sheetName val="2026月度数据对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店名</v>
          </cell>
          <cell r="B2" t="str">
            <v>1月</v>
          </cell>
        </row>
        <row r="3">
          <cell r="A3" t="str">
            <v>花都广本</v>
          </cell>
          <cell r="B3">
            <v>36</v>
          </cell>
          <cell r="C3">
            <v>4</v>
          </cell>
        </row>
        <row r="3">
          <cell r="O3" t="str">
            <v>花都广本</v>
          </cell>
          <cell r="P3">
            <v>0.31</v>
          </cell>
          <cell r="Q3">
            <v>0.1</v>
          </cell>
        </row>
        <row r="4">
          <cell r="A4" t="str">
            <v>清远广本</v>
          </cell>
          <cell r="B4">
            <v>11</v>
          </cell>
          <cell r="C4">
            <v>5</v>
          </cell>
        </row>
        <row r="4">
          <cell r="O4" t="str">
            <v>清远广本</v>
          </cell>
          <cell r="P4">
            <v>0.21</v>
          </cell>
          <cell r="Q4">
            <v>0.11</v>
          </cell>
        </row>
        <row r="5">
          <cell r="A5" t="str">
            <v>白云零跑</v>
          </cell>
          <cell r="B5">
            <v>6</v>
          </cell>
          <cell r="C5">
            <v>13</v>
          </cell>
        </row>
        <row r="5">
          <cell r="O5" t="str">
            <v>白云零跑</v>
          </cell>
          <cell r="P5">
            <v>0.06</v>
          </cell>
          <cell r="Q5">
            <v>0.6</v>
          </cell>
        </row>
        <row r="6">
          <cell r="A6" t="str">
            <v>花都零跑</v>
          </cell>
          <cell r="B6">
            <v>6</v>
          </cell>
          <cell r="C6">
            <v>3</v>
          </cell>
        </row>
        <row r="6">
          <cell r="O6" t="str">
            <v>花都零跑</v>
          </cell>
          <cell r="P6">
            <v>0.12</v>
          </cell>
          <cell r="Q6">
            <v>0.23</v>
          </cell>
        </row>
        <row r="7">
          <cell r="A7" t="str">
            <v>河源零跑</v>
          </cell>
          <cell r="B7">
            <v>19</v>
          </cell>
          <cell r="C7">
            <v>5</v>
          </cell>
        </row>
        <row r="7">
          <cell r="O7" t="str">
            <v>河源零跑</v>
          </cell>
          <cell r="P7">
            <v>0.1</v>
          </cell>
          <cell r="Q7">
            <v>0.22</v>
          </cell>
        </row>
        <row r="8">
          <cell r="A8" t="str">
            <v>汕头零跑</v>
          </cell>
          <cell r="B8">
            <v>12</v>
          </cell>
          <cell r="C8">
            <v>11</v>
          </cell>
        </row>
        <row r="8">
          <cell r="O8" t="str">
            <v>汕头零跑</v>
          </cell>
          <cell r="P8">
            <v>0.17</v>
          </cell>
          <cell r="Q8">
            <v>0.33</v>
          </cell>
        </row>
        <row r="9">
          <cell r="A9" t="str">
            <v>江门大众</v>
          </cell>
          <cell r="B9">
            <v>10</v>
          </cell>
          <cell r="C9">
            <v>3</v>
          </cell>
        </row>
        <row r="9">
          <cell r="O9" t="str">
            <v>江门大众</v>
          </cell>
          <cell r="P9">
            <v>0.1</v>
          </cell>
          <cell r="Q9">
            <v>0.25</v>
          </cell>
        </row>
        <row r="10">
          <cell r="A10" t="str">
            <v>鑫海广本</v>
          </cell>
          <cell r="B10">
            <v>15</v>
          </cell>
          <cell r="C10">
            <v>7</v>
          </cell>
        </row>
        <row r="10">
          <cell r="O10" t="str">
            <v>鑫海广本</v>
          </cell>
          <cell r="P10">
            <v>0.15</v>
          </cell>
          <cell r="Q10">
            <v>0.15</v>
          </cell>
        </row>
        <row r="11">
          <cell r="A11" t="str">
            <v>花都传祺</v>
          </cell>
          <cell r="B11">
            <v>7</v>
          </cell>
          <cell r="C11">
            <v>3</v>
          </cell>
        </row>
        <row r="11">
          <cell r="O11" t="str">
            <v>花都传祺</v>
          </cell>
          <cell r="P11">
            <v>0.12</v>
          </cell>
          <cell r="Q11">
            <v>0.17</v>
          </cell>
        </row>
        <row r="12">
          <cell r="A12" t="str">
            <v>从化零跑</v>
          </cell>
          <cell r="B12">
            <v>4</v>
          </cell>
          <cell r="C12">
            <v>2</v>
          </cell>
        </row>
        <row r="12">
          <cell r="O12" t="str">
            <v>从化零跑</v>
          </cell>
          <cell r="P12">
            <v>0.22</v>
          </cell>
          <cell r="Q12">
            <v>0.18</v>
          </cell>
        </row>
        <row r="13">
          <cell r="A13" t="str">
            <v>清远港鸿</v>
          </cell>
          <cell r="B13">
            <v>11</v>
          </cell>
          <cell r="C13">
            <v>4</v>
          </cell>
        </row>
        <row r="13">
          <cell r="O13" t="str">
            <v>清远港鸿</v>
          </cell>
          <cell r="P13">
            <v>0.26</v>
          </cell>
          <cell r="Q13">
            <v>0.25</v>
          </cell>
        </row>
        <row r="14">
          <cell r="A14" t="str">
            <v>清远奇晟</v>
          </cell>
          <cell r="B14">
            <v>6</v>
          </cell>
          <cell r="C14">
            <v>3</v>
          </cell>
        </row>
        <row r="14">
          <cell r="O14" t="str">
            <v>清远奇晟</v>
          </cell>
          <cell r="P14">
            <v>0.1</v>
          </cell>
        </row>
        <row r="15">
          <cell r="A15" t="str">
            <v>清远英德</v>
          </cell>
          <cell r="B15">
            <v>0</v>
          </cell>
          <cell r="C15">
            <v>0</v>
          </cell>
        </row>
        <row r="15">
          <cell r="O15" t="str">
            <v>清远英德</v>
          </cell>
          <cell r="P15">
            <v>0</v>
          </cell>
          <cell r="Q15">
            <v>0</v>
          </cell>
        </row>
        <row r="16">
          <cell r="A16" t="str">
            <v>广花店</v>
          </cell>
          <cell r="B16">
            <v>0</v>
          </cell>
          <cell r="C16">
            <v>2</v>
          </cell>
        </row>
        <row r="16">
          <cell r="O16" t="str">
            <v>广花店</v>
          </cell>
          <cell r="P16">
            <v>0</v>
          </cell>
          <cell r="Q16">
            <v>0.25</v>
          </cell>
        </row>
        <row r="17">
          <cell r="A17" t="str">
            <v>北站店</v>
          </cell>
          <cell r="B17">
            <v>1</v>
          </cell>
          <cell r="C17">
            <v>0</v>
          </cell>
        </row>
        <row r="17">
          <cell r="O17" t="str">
            <v>北站店</v>
          </cell>
          <cell r="P17">
            <v>0.1</v>
          </cell>
          <cell r="Q17">
            <v>0</v>
          </cell>
        </row>
        <row r="18">
          <cell r="A18" t="str">
            <v>清远极氪</v>
          </cell>
          <cell r="B18">
            <v>1</v>
          </cell>
          <cell r="C18">
            <v>0</v>
          </cell>
        </row>
        <row r="18">
          <cell r="O18" t="str">
            <v>清远极氪</v>
          </cell>
          <cell r="P18">
            <v>0</v>
          </cell>
          <cell r="Q18">
            <v>0</v>
          </cell>
        </row>
        <row r="23">
          <cell r="A23" t="str">
            <v>花都广本</v>
          </cell>
          <cell r="B23">
            <v>3099</v>
          </cell>
          <cell r="C23">
            <v>1529</v>
          </cell>
        </row>
        <row r="23">
          <cell r="O23" t="str">
            <v>花都广本</v>
          </cell>
          <cell r="P23">
            <v>77</v>
          </cell>
          <cell r="Q23">
            <v>22</v>
          </cell>
        </row>
        <row r="24">
          <cell r="A24" t="str">
            <v>清远广本</v>
          </cell>
          <cell r="B24">
            <v>683</v>
          </cell>
          <cell r="C24">
            <v>765</v>
          </cell>
        </row>
        <row r="24">
          <cell r="O24" t="str">
            <v>清远广本</v>
          </cell>
          <cell r="P24">
            <v>41</v>
          </cell>
          <cell r="Q24">
            <v>29</v>
          </cell>
        </row>
        <row r="25">
          <cell r="A25" t="str">
            <v>白云零跑</v>
          </cell>
          <cell r="B25">
            <v>1160</v>
          </cell>
          <cell r="C25">
            <v>681</v>
          </cell>
        </row>
        <row r="25">
          <cell r="O25" t="str">
            <v>白云零跑</v>
          </cell>
          <cell r="P25">
            <v>27</v>
          </cell>
          <cell r="Q25">
            <v>21</v>
          </cell>
        </row>
        <row r="26">
          <cell r="A26" t="str">
            <v>花都零跑</v>
          </cell>
          <cell r="B26">
            <v>869</v>
          </cell>
          <cell r="C26">
            <v>495</v>
          </cell>
        </row>
        <row r="26">
          <cell r="O26" t="str">
            <v>花都零跑</v>
          </cell>
          <cell r="P26">
            <v>25</v>
          </cell>
          <cell r="Q26">
            <v>13</v>
          </cell>
        </row>
        <row r="27">
          <cell r="A27" t="str">
            <v>河源零跑</v>
          </cell>
          <cell r="B27">
            <v>467</v>
          </cell>
          <cell r="C27">
            <v>671</v>
          </cell>
        </row>
        <row r="27">
          <cell r="O27" t="str">
            <v>河源零跑</v>
          </cell>
          <cell r="P27">
            <v>99</v>
          </cell>
          <cell r="Q27">
            <v>67</v>
          </cell>
        </row>
        <row r="28">
          <cell r="A28" t="str">
            <v>汕头零跑</v>
          </cell>
          <cell r="B28">
            <v>593</v>
          </cell>
          <cell r="C28">
            <v>461</v>
          </cell>
        </row>
        <row r="28">
          <cell r="O28" t="str">
            <v>汕头零跑</v>
          </cell>
          <cell r="P28">
            <v>54</v>
          </cell>
          <cell r="Q28">
            <v>47</v>
          </cell>
        </row>
        <row r="29">
          <cell r="A29" t="str">
            <v>江门大众</v>
          </cell>
          <cell r="B29">
            <v>343</v>
          </cell>
          <cell r="C29">
            <v>351</v>
          </cell>
        </row>
        <row r="29">
          <cell r="O29" t="str">
            <v>江门大众</v>
          </cell>
          <cell r="P29">
            <v>17</v>
          </cell>
          <cell r="Q29">
            <v>9</v>
          </cell>
        </row>
        <row r="30">
          <cell r="A30" t="str">
            <v>鑫海广本</v>
          </cell>
          <cell r="B30">
            <v>502</v>
          </cell>
          <cell r="C30">
            <v>181</v>
          </cell>
        </row>
        <row r="30">
          <cell r="O30" t="str">
            <v>鑫海广本</v>
          </cell>
          <cell r="P30">
            <v>76</v>
          </cell>
          <cell r="Q30">
            <v>27</v>
          </cell>
        </row>
        <row r="31">
          <cell r="A31" t="str">
            <v>花都传祺</v>
          </cell>
          <cell r="B31">
            <v>579</v>
          </cell>
          <cell r="C31">
            <v>302</v>
          </cell>
        </row>
        <row r="31">
          <cell r="O31" t="str">
            <v>花都传祺</v>
          </cell>
          <cell r="P31">
            <v>22</v>
          </cell>
          <cell r="Q31">
            <v>8</v>
          </cell>
        </row>
        <row r="32">
          <cell r="A32" t="str">
            <v>从化零跑</v>
          </cell>
          <cell r="B32">
            <v>539</v>
          </cell>
          <cell r="C32">
            <v>525</v>
          </cell>
        </row>
        <row r="32">
          <cell r="O32" t="str">
            <v>从化零跑</v>
          </cell>
          <cell r="P32">
            <v>1</v>
          </cell>
          <cell r="Q32">
            <v>4</v>
          </cell>
        </row>
        <row r="33">
          <cell r="A33" t="str">
            <v>清远港鸿</v>
          </cell>
          <cell r="B33">
            <v>319</v>
          </cell>
          <cell r="C33">
            <v>282</v>
          </cell>
        </row>
        <row r="33">
          <cell r="O33" t="str">
            <v>清远港鸿</v>
          </cell>
          <cell r="P33">
            <v>54</v>
          </cell>
          <cell r="Q33">
            <v>11</v>
          </cell>
        </row>
        <row r="34">
          <cell r="A34" t="str">
            <v>清远奇晟</v>
          </cell>
          <cell r="B34">
            <v>260</v>
          </cell>
          <cell r="C34">
            <v>212</v>
          </cell>
        </row>
        <row r="34">
          <cell r="O34" t="str">
            <v>清远奇晟</v>
          </cell>
          <cell r="P34">
            <v>22</v>
          </cell>
          <cell r="Q34">
            <v>6</v>
          </cell>
        </row>
        <row r="35">
          <cell r="A35" t="str">
            <v>清远英德</v>
          </cell>
          <cell r="B35">
            <v>19</v>
          </cell>
          <cell r="C35">
            <v>2</v>
          </cell>
        </row>
        <row r="35">
          <cell r="O35" t="str">
            <v>清远英德</v>
          </cell>
          <cell r="P35">
            <v>7</v>
          </cell>
          <cell r="Q35">
            <v>1</v>
          </cell>
        </row>
        <row r="36">
          <cell r="A36" t="str">
            <v>广花店</v>
          </cell>
          <cell r="B36">
            <v>550</v>
          </cell>
          <cell r="C36">
            <v>285</v>
          </cell>
        </row>
        <row r="36">
          <cell r="O36" t="str">
            <v>广花店</v>
          </cell>
          <cell r="P36">
            <v>0</v>
          </cell>
          <cell r="Q36">
            <v>3</v>
          </cell>
        </row>
        <row r="37">
          <cell r="A37" t="str">
            <v>北站店</v>
          </cell>
          <cell r="B37">
            <v>188</v>
          </cell>
          <cell r="C37">
            <v>84</v>
          </cell>
        </row>
        <row r="37">
          <cell r="O37" t="str">
            <v>北站店</v>
          </cell>
          <cell r="P37">
            <v>2</v>
          </cell>
          <cell r="Q37">
            <v>6</v>
          </cell>
        </row>
        <row r="38">
          <cell r="A38" t="str">
            <v>清远极氪</v>
          </cell>
          <cell r="B38">
            <v>68</v>
          </cell>
          <cell r="C38">
            <v>369</v>
          </cell>
        </row>
        <row r="38">
          <cell r="O38" t="str">
            <v>清远极氪</v>
          </cell>
          <cell r="P38">
            <v>10</v>
          </cell>
          <cell r="Q38">
            <v>16</v>
          </cell>
        </row>
        <row r="44">
          <cell r="A44" t="str">
            <v>花都广本</v>
          </cell>
          <cell r="B44">
            <v>2708</v>
          </cell>
          <cell r="C44">
            <v>1842</v>
          </cell>
        </row>
        <row r="45">
          <cell r="A45" t="str">
            <v>清远广本</v>
          </cell>
          <cell r="B45">
            <v>0</v>
          </cell>
          <cell r="C45">
            <v>0</v>
          </cell>
        </row>
        <row r="46">
          <cell r="A46" t="str">
            <v>白云零跑</v>
          </cell>
          <cell r="B46">
            <v>1021</v>
          </cell>
          <cell r="C46">
            <v>608</v>
          </cell>
        </row>
        <row r="47">
          <cell r="A47" t="str">
            <v>花都零跑</v>
          </cell>
          <cell r="B47">
            <v>838</v>
          </cell>
          <cell r="C47">
            <v>451</v>
          </cell>
        </row>
        <row r="48">
          <cell r="A48" t="str">
            <v>河源零跑</v>
          </cell>
          <cell r="B48">
            <v>406</v>
          </cell>
          <cell r="C48">
            <v>634</v>
          </cell>
        </row>
        <row r="49">
          <cell r="A49" t="str">
            <v>汕头零跑</v>
          </cell>
          <cell r="B49">
            <v>537</v>
          </cell>
          <cell r="C49">
            <v>337</v>
          </cell>
        </row>
        <row r="50">
          <cell r="A50" t="str">
            <v>江门大众</v>
          </cell>
          <cell r="B50">
            <v>178</v>
          </cell>
          <cell r="C50">
            <v>1348</v>
          </cell>
        </row>
        <row r="51">
          <cell r="A51" t="str">
            <v>鑫海广本</v>
          </cell>
          <cell r="B51">
            <v>416</v>
          </cell>
          <cell r="C51">
            <v>136</v>
          </cell>
        </row>
        <row r="52">
          <cell r="A52" t="str">
            <v>花都传祺</v>
          </cell>
          <cell r="B52">
            <v>490</v>
          </cell>
          <cell r="C52">
            <v>101</v>
          </cell>
        </row>
        <row r="53">
          <cell r="A53" t="str">
            <v>从化零跑</v>
          </cell>
          <cell r="B53">
            <v>511</v>
          </cell>
          <cell r="C53">
            <v>505</v>
          </cell>
        </row>
        <row r="54">
          <cell r="A54" t="str">
            <v>清远港鸿</v>
          </cell>
          <cell r="B54">
            <v>269</v>
          </cell>
          <cell r="C54">
            <v>247</v>
          </cell>
        </row>
        <row r="55">
          <cell r="A55" t="str">
            <v>清远奇晟</v>
          </cell>
          <cell r="B55">
            <v>233</v>
          </cell>
          <cell r="C55">
            <v>186</v>
          </cell>
        </row>
        <row r="56">
          <cell r="A56" t="str">
            <v>清远英德</v>
          </cell>
          <cell r="B56">
            <v>0</v>
          </cell>
          <cell r="C56">
            <v>0</v>
          </cell>
        </row>
        <row r="57">
          <cell r="A57" t="str">
            <v>广花店</v>
          </cell>
          <cell r="B57">
            <v>530</v>
          </cell>
          <cell r="C57">
            <v>251</v>
          </cell>
        </row>
        <row r="58">
          <cell r="A58" t="str">
            <v>北站店</v>
          </cell>
          <cell r="B58">
            <v>166</v>
          </cell>
          <cell r="C58">
            <v>23</v>
          </cell>
        </row>
        <row r="59">
          <cell r="A59" t="str">
            <v>清远极氪</v>
          </cell>
          <cell r="B59">
            <v>29</v>
          </cell>
          <cell r="C59">
            <v>353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zoomScale="60" zoomScaleNormal="60" workbookViewId="0">
      <pane xSplit="5" ySplit="4" topLeftCell="F10" activePane="bottomRight" state="frozen"/>
      <selection/>
      <selection pane="topRight"/>
      <selection pane="bottomLeft"/>
      <selection pane="bottomRight" activeCell="P23" sqref="P23"/>
    </sheetView>
  </sheetViews>
  <sheetFormatPr defaultColWidth="8.83333333333333" defaultRowHeight="14"/>
  <cols>
    <col min="1" max="1" width="5.16666666666667" customWidth="1"/>
    <col min="2" max="2" width="10.8333333333333" customWidth="1"/>
    <col min="3" max="3" width="0.166666666666667" customWidth="1"/>
    <col min="4" max="4" width="10.8333333333333" hidden="1" customWidth="1"/>
    <col min="5" max="5" width="5.83333333333333" hidden="1" customWidth="1"/>
    <col min="6" max="10" width="8.83333333333333" customWidth="1"/>
    <col min="11" max="11" width="10.8333333333333" customWidth="1"/>
    <col min="12" max="14" width="8.83333333333333" customWidth="1"/>
    <col min="15" max="16" width="9.16666666666667" customWidth="1"/>
  </cols>
  <sheetData>
    <row r="1" ht="66" customHeight="1" spans="1:17">
      <c r="A1" s="294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</row>
    <row r="2" ht="24.5" customHeight="1" spans="1:17">
      <c r="A2" s="296" t="s">
        <v>1</v>
      </c>
      <c r="B2" s="297" t="s">
        <v>2</v>
      </c>
      <c r="C2" s="298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300"/>
    </row>
    <row r="3" ht="20" customHeight="1" spans="1:17">
      <c r="A3" s="301"/>
      <c r="B3" s="302"/>
      <c r="C3" s="303" t="s">
        <v>4</v>
      </c>
      <c r="D3" s="304"/>
      <c r="E3" s="305"/>
      <c r="F3" s="306" t="s">
        <v>5</v>
      </c>
      <c r="G3" s="307" t="s">
        <v>6</v>
      </c>
      <c r="H3" s="308" t="s">
        <v>7</v>
      </c>
      <c r="I3" s="309"/>
      <c r="J3" s="309"/>
      <c r="K3" s="309"/>
      <c r="L3" s="309"/>
      <c r="M3" s="309"/>
      <c r="N3" s="309"/>
      <c r="O3" s="310"/>
      <c r="P3" s="311"/>
    </row>
    <row r="4" ht="53.5" customHeight="1" spans="1:17">
      <c r="A4" s="312"/>
      <c r="B4" s="313"/>
      <c r="C4" s="314" t="s">
        <v>8</v>
      </c>
      <c r="D4" s="315" t="s">
        <v>9</v>
      </c>
      <c r="E4" s="316" t="s">
        <v>10</v>
      </c>
      <c r="F4" s="317"/>
      <c r="G4" s="318"/>
      <c r="H4" s="319" t="s">
        <v>11</v>
      </c>
      <c r="I4" s="319" t="s">
        <v>12</v>
      </c>
      <c r="J4" s="319" t="s">
        <v>13</v>
      </c>
      <c r="K4" s="319" t="s">
        <v>14</v>
      </c>
      <c r="L4" s="319" t="s">
        <v>15</v>
      </c>
      <c r="M4" s="320" t="s">
        <v>16</v>
      </c>
      <c r="N4" s="321" t="s">
        <v>17</v>
      </c>
      <c r="O4" s="322" t="s">
        <v>18</v>
      </c>
      <c r="P4" s="323" t="s">
        <v>19</v>
      </c>
    </row>
    <row r="5" ht="20" customHeight="1" spans="1:17">
      <c r="A5" s="324">
        <v>1</v>
      </c>
      <c r="B5" s="325" t="s">
        <v>20</v>
      </c>
      <c r="C5" s="326"/>
      <c r="D5" s="327"/>
      <c r="E5" s="327"/>
      <c r="F5" s="328">
        <v>120</v>
      </c>
      <c r="G5" s="328">
        <v>100</v>
      </c>
      <c r="H5" s="328">
        <v>1000</v>
      </c>
      <c r="I5" s="329">
        <f t="shared" ref="I5:I7" si="0">H5/F5</f>
        <v>8.33333333333333</v>
      </c>
      <c r="J5" s="330">
        <v>200</v>
      </c>
      <c r="K5" s="329">
        <f t="shared" ref="K5:K7" si="1">J5/G5</f>
        <v>2</v>
      </c>
      <c r="L5" s="328">
        <v>1000</v>
      </c>
      <c r="M5" s="328">
        <f t="shared" ref="M5:M21" si="2">H5+J5+N5</f>
        <v>1200</v>
      </c>
      <c r="N5" s="330">
        <v>0</v>
      </c>
      <c r="O5" s="328">
        <v>50</v>
      </c>
      <c r="P5" s="328">
        <v>25</v>
      </c>
      <c r="Q5" s="293"/>
    </row>
    <row r="6" s="293" customFormat="1" ht="20" customHeight="1" spans="1:17">
      <c r="A6" s="331">
        <v>2</v>
      </c>
      <c r="B6" s="332" t="s">
        <v>21</v>
      </c>
      <c r="C6" s="333"/>
      <c r="D6" s="334"/>
      <c r="E6" s="334"/>
      <c r="F6" s="330">
        <v>80</v>
      </c>
      <c r="G6" s="330">
        <v>90</v>
      </c>
      <c r="H6" s="330">
        <v>600</v>
      </c>
      <c r="I6" s="329">
        <f t="shared" ref="I6:I22" si="3">H6/F6</f>
        <v>7.5</v>
      </c>
      <c r="J6" s="330">
        <v>800</v>
      </c>
      <c r="K6" s="329">
        <f t="shared" ref="K6:K22" si="4">J6/G6</f>
        <v>8.88888888888889</v>
      </c>
      <c r="L6" s="330">
        <v>1200</v>
      </c>
      <c r="M6" s="328">
        <f t="shared" si="2"/>
        <v>1400</v>
      </c>
      <c r="N6" s="330">
        <v>0</v>
      </c>
      <c r="O6" s="330">
        <v>80</v>
      </c>
      <c r="P6" s="330">
        <v>20</v>
      </c>
    </row>
    <row r="7" ht="20" customHeight="1" spans="1:17">
      <c r="A7" s="324">
        <v>3</v>
      </c>
      <c r="B7" s="332" t="s">
        <v>22</v>
      </c>
      <c r="C7" s="326"/>
      <c r="D7" s="335"/>
      <c r="E7" s="335"/>
      <c r="F7" s="330">
        <v>80</v>
      </c>
      <c r="G7" s="330">
        <v>80</v>
      </c>
      <c r="H7" s="330">
        <v>450</v>
      </c>
      <c r="I7" s="329">
        <f t="shared" si="3"/>
        <v>5.625</v>
      </c>
      <c r="J7" s="330">
        <v>150</v>
      </c>
      <c r="K7" s="329">
        <f t="shared" si="4"/>
        <v>1.875</v>
      </c>
      <c r="L7" s="330">
        <v>600</v>
      </c>
      <c r="M7" s="328">
        <f t="shared" si="2"/>
        <v>600</v>
      </c>
      <c r="N7" s="330">
        <v>0</v>
      </c>
      <c r="O7" s="330">
        <v>60</v>
      </c>
      <c r="P7" s="330">
        <v>15</v>
      </c>
      <c r="Q7" s="293"/>
    </row>
    <row r="8" ht="20" customHeight="1" spans="1:17">
      <c r="A8" s="336">
        <v>4</v>
      </c>
      <c r="B8" s="337" t="s">
        <v>23</v>
      </c>
      <c r="C8" s="333"/>
      <c r="D8" s="334"/>
      <c r="E8" s="333"/>
      <c r="F8" s="330">
        <v>70</v>
      </c>
      <c r="G8" s="330">
        <v>70</v>
      </c>
      <c r="H8" s="330">
        <v>200</v>
      </c>
      <c r="I8" s="329">
        <f t="shared" si="3"/>
        <v>2.85714285714286</v>
      </c>
      <c r="J8" s="330">
        <v>50</v>
      </c>
      <c r="K8" s="329">
        <f t="shared" si="4"/>
        <v>0.714285714285714</v>
      </c>
      <c r="L8" s="330">
        <v>100</v>
      </c>
      <c r="M8" s="328">
        <f t="shared" si="2"/>
        <v>250</v>
      </c>
      <c r="N8" s="330">
        <v>0</v>
      </c>
      <c r="O8" s="330">
        <v>30</v>
      </c>
      <c r="P8" s="330">
        <v>6</v>
      </c>
      <c r="Q8" s="293"/>
    </row>
    <row r="9" ht="20" customHeight="1" spans="1:17">
      <c r="A9" s="338">
        <v>5</v>
      </c>
      <c r="B9" s="331" t="s">
        <v>24</v>
      </c>
      <c r="C9" s="327"/>
      <c r="D9" s="339"/>
      <c r="E9" s="340"/>
      <c r="F9" s="330">
        <v>90</v>
      </c>
      <c r="G9" s="330">
        <v>60</v>
      </c>
      <c r="H9" s="330">
        <v>400</v>
      </c>
      <c r="I9" s="329">
        <f t="shared" si="3"/>
        <v>4.44444444444444</v>
      </c>
      <c r="J9" s="330">
        <v>50</v>
      </c>
      <c r="K9" s="329">
        <f t="shared" si="4"/>
        <v>0.833333333333333</v>
      </c>
      <c r="L9" s="330">
        <v>200</v>
      </c>
      <c r="M9" s="328">
        <f t="shared" si="2"/>
        <v>450</v>
      </c>
      <c r="N9" s="330">
        <v>0</v>
      </c>
      <c r="O9" s="330">
        <v>40</v>
      </c>
      <c r="P9" s="330">
        <v>5</v>
      </c>
      <c r="Q9" s="293"/>
    </row>
    <row r="10" ht="20" customHeight="1" spans="1:17">
      <c r="A10" s="336">
        <v>6</v>
      </c>
      <c r="B10" s="324" t="s">
        <v>25</v>
      </c>
      <c r="C10" s="334"/>
      <c r="D10" s="334"/>
      <c r="E10" s="333"/>
      <c r="F10" s="330">
        <v>70</v>
      </c>
      <c r="G10" s="330">
        <v>70</v>
      </c>
      <c r="H10" s="341">
        <v>200</v>
      </c>
      <c r="I10" s="329">
        <f t="shared" si="3"/>
        <v>2.85714285714286</v>
      </c>
      <c r="J10" s="330">
        <v>50</v>
      </c>
      <c r="K10" s="329">
        <f t="shared" si="4"/>
        <v>0.714285714285714</v>
      </c>
      <c r="L10" s="330">
        <v>30</v>
      </c>
      <c r="M10" s="328">
        <f t="shared" si="2"/>
        <v>350</v>
      </c>
      <c r="N10" s="330">
        <v>100</v>
      </c>
      <c r="O10" s="330">
        <v>30</v>
      </c>
      <c r="P10" s="330">
        <v>8</v>
      </c>
      <c r="Q10" s="293"/>
    </row>
    <row r="11" ht="20" customHeight="1" spans="1:17">
      <c r="A11" s="336">
        <v>7</v>
      </c>
      <c r="B11" s="342" t="s">
        <v>26</v>
      </c>
      <c r="C11" s="326"/>
      <c r="D11" s="335"/>
      <c r="E11" s="326"/>
      <c r="F11" s="330">
        <v>80</v>
      </c>
      <c r="G11" s="330">
        <v>60</v>
      </c>
      <c r="H11" s="330">
        <v>350</v>
      </c>
      <c r="I11" s="329">
        <f t="shared" si="3"/>
        <v>4.375</v>
      </c>
      <c r="J11" s="330">
        <v>60</v>
      </c>
      <c r="K11" s="329">
        <f t="shared" si="4"/>
        <v>1</v>
      </c>
      <c r="L11" s="330">
        <v>200</v>
      </c>
      <c r="M11" s="328">
        <f t="shared" si="2"/>
        <v>510</v>
      </c>
      <c r="N11" s="330">
        <v>100</v>
      </c>
      <c r="O11" s="330">
        <v>45</v>
      </c>
      <c r="P11" s="330">
        <v>15</v>
      </c>
      <c r="Q11" s="293"/>
    </row>
    <row r="12" ht="20" customHeight="1" spans="1:17">
      <c r="A12" s="336">
        <v>8</v>
      </c>
      <c r="B12" s="343" t="s">
        <v>27</v>
      </c>
      <c r="C12" s="344"/>
      <c r="D12" s="345"/>
      <c r="E12" s="344"/>
      <c r="F12" s="330">
        <v>50</v>
      </c>
      <c r="G12" s="330">
        <v>80</v>
      </c>
      <c r="H12" s="330">
        <v>300</v>
      </c>
      <c r="I12" s="329">
        <f t="shared" si="3"/>
        <v>6</v>
      </c>
      <c r="J12" s="330">
        <v>400</v>
      </c>
      <c r="K12" s="329">
        <f t="shared" si="4"/>
        <v>5</v>
      </c>
      <c r="L12" s="330">
        <v>600</v>
      </c>
      <c r="M12" s="328">
        <f t="shared" si="2"/>
        <v>700</v>
      </c>
      <c r="N12" s="330">
        <v>0</v>
      </c>
      <c r="O12" s="330">
        <v>40</v>
      </c>
      <c r="P12" s="330">
        <v>20</v>
      </c>
      <c r="Q12" s="293"/>
    </row>
    <row r="13" ht="20" customHeight="1" spans="1:17">
      <c r="A13" s="336">
        <v>9</v>
      </c>
      <c r="B13" s="343" t="s">
        <v>28</v>
      </c>
      <c r="C13" s="346"/>
      <c r="D13" s="346"/>
      <c r="E13" s="346"/>
      <c r="F13" s="330">
        <v>60</v>
      </c>
      <c r="G13" s="330">
        <v>60</v>
      </c>
      <c r="H13" s="330">
        <v>120</v>
      </c>
      <c r="I13" s="329">
        <f t="shared" si="3"/>
        <v>2</v>
      </c>
      <c r="J13" s="330">
        <v>300</v>
      </c>
      <c r="K13" s="329">
        <f t="shared" si="4"/>
        <v>5</v>
      </c>
      <c r="L13" s="330">
        <v>200</v>
      </c>
      <c r="M13" s="328">
        <f t="shared" si="2"/>
        <v>540</v>
      </c>
      <c r="N13" s="330">
        <v>120</v>
      </c>
      <c r="O13" s="330">
        <v>20</v>
      </c>
      <c r="P13" s="330">
        <v>10</v>
      </c>
      <c r="Q13" s="293"/>
    </row>
    <row r="14" ht="20" customHeight="1" spans="1:17">
      <c r="A14" s="336">
        <v>10</v>
      </c>
      <c r="B14" s="343" t="s">
        <v>29</v>
      </c>
      <c r="C14" s="346"/>
      <c r="D14" s="346"/>
      <c r="E14" s="346"/>
      <c r="F14" s="330">
        <v>80</v>
      </c>
      <c r="G14" s="330">
        <v>90</v>
      </c>
      <c r="H14" s="330">
        <v>600</v>
      </c>
      <c r="I14" s="329">
        <f t="shared" si="3"/>
        <v>7.5</v>
      </c>
      <c r="J14" s="330">
        <v>800</v>
      </c>
      <c r="K14" s="329">
        <f t="shared" si="4"/>
        <v>8.88888888888889</v>
      </c>
      <c r="L14" s="330">
        <v>1200</v>
      </c>
      <c r="M14" s="328">
        <f t="shared" si="2"/>
        <v>1400</v>
      </c>
      <c r="N14" s="330">
        <v>0</v>
      </c>
      <c r="O14" s="330">
        <v>80</v>
      </c>
      <c r="P14" s="330">
        <v>20</v>
      </c>
      <c r="Q14" s="293"/>
    </row>
    <row r="15" ht="20" customHeight="1" spans="1:17">
      <c r="A15" s="336">
        <v>11</v>
      </c>
      <c r="B15" s="343" t="s">
        <v>30</v>
      </c>
      <c r="C15" s="293"/>
      <c r="D15" s="293"/>
      <c r="E15" s="293"/>
      <c r="F15" s="330">
        <v>100</v>
      </c>
      <c r="G15" s="330">
        <v>100</v>
      </c>
      <c r="H15" s="330">
        <v>800</v>
      </c>
      <c r="I15" s="329">
        <f t="shared" si="3"/>
        <v>8</v>
      </c>
      <c r="J15" s="330">
        <v>600</v>
      </c>
      <c r="K15" s="329">
        <f t="shared" si="4"/>
        <v>6</v>
      </c>
      <c r="L15" s="330">
        <v>1200</v>
      </c>
      <c r="M15" s="328">
        <f t="shared" si="2"/>
        <v>1400</v>
      </c>
      <c r="N15" s="330">
        <v>0</v>
      </c>
      <c r="O15" s="330">
        <v>80</v>
      </c>
      <c r="P15" s="330">
        <v>20</v>
      </c>
      <c r="Q15" s="293"/>
    </row>
    <row r="16" ht="20" customHeight="1" spans="1:17">
      <c r="A16" s="336">
        <v>12</v>
      </c>
      <c r="B16" s="343" t="s">
        <v>31</v>
      </c>
      <c r="C16" s="293"/>
      <c r="D16" s="293"/>
      <c r="E16" s="293"/>
      <c r="F16" s="330">
        <v>80</v>
      </c>
      <c r="G16" s="330">
        <v>90</v>
      </c>
      <c r="H16" s="330">
        <v>200</v>
      </c>
      <c r="I16" s="329">
        <f t="shared" si="3"/>
        <v>2.5</v>
      </c>
      <c r="J16" s="330">
        <v>200</v>
      </c>
      <c r="K16" s="329">
        <f t="shared" si="4"/>
        <v>2.22222222222222</v>
      </c>
      <c r="L16" s="330">
        <v>150</v>
      </c>
      <c r="M16" s="328">
        <f t="shared" si="2"/>
        <v>456</v>
      </c>
      <c r="N16" s="330">
        <v>56</v>
      </c>
      <c r="O16" s="330">
        <v>50</v>
      </c>
      <c r="P16" s="330">
        <v>8</v>
      </c>
      <c r="Q16" s="293"/>
    </row>
    <row r="17" ht="20" customHeight="1" spans="1:17">
      <c r="A17" s="347">
        <v>13</v>
      </c>
      <c r="B17" s="343" t="s">
        <v>32</v>
      </c>
      <c r="C17" s="293"/>
      <c r="D17" s="293"/>
      <c r="E17" s="293"/>
      <c r="F17" s="330">
        <v>80</v>
      </c>
      <c r="G17" s="330">
        <v>60</v>
      </c>
      <c r="H17" s="330">
        <v>400</v>
      </c>
      <c r="I17" s="329">
        <f t="shared" si="3"/>
        <v>5</v>
      </c>
      <c r="J17" s="330">
        <v>100</v>
      </c>
      <c r="K17" s="329">
        <f t="shared" si="4"/>
        <v>1.66666666666667</v>
      </c>
      <c r="L17" s="330">
        <v>500</v>
      </c>
      <c r="M17" s="328">
        <f t="shared" si="2"/>
        <v>500</v>
      </c>
      <c r="N17" s="330">
        <v>0</v>
      </c>
      <c r="O17" s="330">
        <v>50</v>
      </c>
      <c r="P17" s="330">
        <v>15</v>
      </c>
      <c r="Q17" s="293"/>
    </row>
    <row r="18" ht="20" customHeight="1" spans="1:17">
      <c r="A18" s="347">
        <v>14</v>
      </c>
      <c r="B18" s="343" t="s">
        <v>33</v>
      </c>
      <c r="C18" s="293"/>
      <c r="D18" s="293"/>
      <c r="E18" s="293"/>
      <c r="F18" s="330">
        <v>80</v>
      </c>
      <c r="G18" s="330">
        <v>90</v>
      </c>
      <c r="H18" s="330">
        <v>200</v>
      </c>
      <c r="I18" s="329">
        <f t="shared" si="3"/>
        <v>2.5</v>
      </c>
      <c r="J18" s="330">
        <v>200</v>
      </c>
      <c r="K18" s="329">
        <f t="shared" si="4"/>
        <v>2.22222222222222</v>
      </c>
      <c r="L18" s="330">
        <v>120</v>
      </c>
      <c r="M18" s="328">
        <f t="shared" si="2"/>
        <v>428</v>
      </c>
      <c r="N18" s="330">
        <v>28</v>
      </c>
      <c r="O18" s="330">
        <v>50</v>
      </c>
      <c r="P18" s="330">
        <v>6</v>
      </c>
      <c r="Q18" s="293"/>
    </row>
    <row r="19" ht="20" customHeight="1" spans="1:17">
      <c r="A19" s="347">
        <v>15</v>
      </c>
      <c r="B19" s="343" t="s">
        <v>34</v>
      </c>
      <c r="C19" s="293"/>
      <c r="D19" s="293"/>
      <c r="E19" s="293"/>
      <c r="F19" s="330">
        <v>60</v>
      </c>
      <c r="G19" s="330">
        <v>60</v>
      </c>
      <c r="H19" s="330">
        <v>30</v>
      </c>
      <c r="I19" s="329">
        <f t="shared" si="3"/>
        <v>0.5</v>
      </c>
      <c r="J19" s="330">
        <v>30</v>
      </c>
      <c r="K19" s="329">
        <f t="shared" si="4"/>
        <v>0.5</v>
      </c>
      <c r="L19" s="330">
        <v>100</v>
      </c>
      <c r="M19" s="328">
        <f t="shared" si="2"/>
        <v>60</v>
      </c>
      <c r="N19" s="330">
        <v>0</v>
      </c>
      <c r="O19" s="330">
        <v>15</v>
      </c>
      <c r="P19" s="330">
        <v>15</v>
      </c>
      <c r="Q19" s="293"/>
    </row>
    <row r="20" ht="20" customHeight="1" spans="1:17">
      <c r="A20" s="347">
        <v>16</v>
      </c>
      <c r="B20" s="343" t="s">
        <v>35</v>
      </c>
      <c r="C20" s="293"/>
      <c r="D20" s="293"/>
      <c r="E20" s="293"/>
      <c r="F20" s="330">
        <v>80</v>
      </c>
      <c r="G20" s="330">
        <v>60</v>
      </c>
      <c r="H20" s="330">
        <v>400</v>
      </c>
      <c r="I20" s="329">
        <f t="shared" si="3"/>
        <v>5</v>
      </c>
      <c r="J20" s="330">
        <v>100</v>
      </c>
      <c r="K20" s="329">
        <f t="shared" si="4"/>
        <v>1.66666666666667</v>
      </c>
      <c r="L20" s="330">
        <v>500</v>
      </c>
      <c r="M20" s="328">
        <f t="shared" si="2"/>
        <v>500</v>
      </c>
      <c r="N20" s="330">
        <v>0</v>
      </c>
      <c r="O20" s="330">
        <v>50</v>
      </c>
      <c r="P20" s="330">
        <v>15</v>
      </c>
      <c r="Q20" s="293"/>
    </row>
    <row r="21" ht="20" customHeight="1" spans="1:17">
      <c r="A21" s="347">
        <v>17</v>
      </c>
      <c r="B21" s="343" t="s">
        <v>36</v>
      </c>
      <c r="C21" s="293"/>
      <c r="D21" s="293"/>
      <c r="E21" s="293"/>
      <c r="F21" s="330">
        <v>80</v>
      </c>
      <c r="G21" s="330">
        <v>100</v>
      </c>
      <c r="H21" s="330">
        <v>200</v>
      </c>
      <c r="I21" s="329">
        <f t="shared" si="3"/>
        <v>2.5</v>
      </c>
      <c r="J21" s="330">
        <v>200</v>
      </c>
      <c r="K21" s="329">
        <f t="shared" si="4"/>
        <v>2</v>
      </c>
      <c r="L21" s="330">
        <v>400</v>
      </c>
      <c r="M21" s="328">
        <f t="shared" si="2"/>
        <v>400</v>
      </c>
      <c r="N21" s="330">
        <v>0</v>
      </c>
      <c r="O21" s="330">
        <v>20</v>
      </c>
      <c r="P21" s="330">
        <v>7</v>
      </c>
      <c r="Q21" s="293"/>
    </row>
    <row r="22" ht="20" customHeight="1" spans="1:17">
      <c r="A22" s="347">
        <v>18</v>
      </c>
      <c r="B22" s="343" t="s">
        <v>37</v>
      </c>
      <c r="C22" s="293"/>
      <c r="D22" s="293"/>
      <c r="E22" s="293"/>
      <c r="F22" s="348">
        <v>40</v>
      </c>
      <c r="G22" s="348">
        <v>40</v>
      </c>
      <c r="H22" s="348">
        <v>30</v>
      </c>
      <c r="I22" s="329">
        <f t="shared" si="3"/>
        <v>0.75</v>
      </c>
      <c r="J22" s="330">
        <v>30</v>
      </c>
      <c r="K22" s="329">
        <f t="shared" si="4"/>
        <v>0.75</v>
      </c>
      <c r="L22" s="330">
        <v>250</v>
      </c>
      <c r="M22" s="328">
        <v>250</v>
      </c>
      <c r="N22" s="330">
        <v>0</v>
      </c>
      <c r="O22" s="330">
        <v>8</v>
      </c>
      <c r="P22" s="330">
        <v>2</v>
      </c>
      <c r="Q22" s="293"/>
    </row>
    <row r="23" ht="16.5" spans="1:17">
      <c r="A23" s="349"/>
      <c r="B23" s="350" t="s">
        <v>38</v>
      </c>
      <c r="F23" s="330">
        <f t="shared" ref="F23:T23" si="5">SUM(F5:F22)</f>
        <v>1380</v>
      </c>
      <c r="G23" s="330">
        <f t="shared" si="5"/>
        <v>1360</v>
      </c>
      <c r="H23" s="330">
        <f t="shared" si="5"/>
        <v>6480</v>
      </c>
      <c r="I23" s="329">
        <f t="shared" si="5"/>
        <v>78.2420634920635</v>
      </c>
      <c r="J23" s="330">
        <f t="shared" si="5"/>
        <v>4320</v>
      </c>
      <c r="K23" s="329">
        <f t="shared" si="5"/>
        <v>51.9424603174603</v>
      </c>
      <c r="L23" s="330">
        <f t="shared" si="5"/>
        <v>8550</v>
      </c>
      <c r="M23" s="330">
        <f t="shared" si="5"/>
        <v>11394</v>
      </c>
      <c r="N23" s="330">
        <f t="shared" si="5"/>
        <v>404</v>
      </c>
      <c r="O23" s="330">
        <f t="shared" si="5"/>
        <v>798</v>
      </c>
      <c r="P23" s="330">
        <f t="shared" si="5"/>
        <v>232</v>
      </c>
    </row>
  </sheetData>
  <mergeCells count="8">
    <mergeCell ref="A1:P1"/>
    <mergeCell ref="C2:P2"/>
    <mergeCell ref="C3:E3"/>
    <mergeCell ref="H3:N3"/>
    <mergeCell ref="A2:A4"/>
    <mergeCell ref="B2:B4"/>
    <mergeCell ref="F3:F4"/>
    <mergeCell ref="G3:G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4"/>
  <sheetViews>
    <sheetView zoomScale="60" zoomScaleNormal="60" workbookViewId="0">
      <selection activeCell="J21" sqref="J21"/>
    </sheetView>
  </sheetViews>
  <sheetFormatPr defaultColWidth="8.83333333333333" defaultRowHeight="16.5"/>
  <cols>
    <col min="1" max="1" width="30.3333333333333" style="78" customWidth="1"/>
    <col min="2" max="2" width="11.8333333333333" style="78" hidden="1" customWidth="1"/>
    <col min="3" max="4" width="14.8333333333333" style="78" customWidth="1"/>
    <col min="5" max="5" width="14.8333333333333" style="231" customWidth="1"/>
    <col min="6" max="7" width="14.8333333333333" style="232" customWidth="1"/>
    <col min="8" max="8" width="18.3333333333333" style="78" hidden="1" customWidth="1"/>
    <col min="9" max="10" width="10" style="79" customWidth="1"/>
    <col min="11" max="11" width="30.1666666666667" style="79" hidden="1" customWidth="1"/>
    <col min="12" max="12" width="14.8333333333333" style="79" hidden="1" customWidth="1"/>
    <col min="13" max="13" width="16.1666666666667" style="78" hidden="1" customWidth="1"/>
    <col min="14" max="14" width="12.35" style="78" hidden="1" customWidth="1"/>
    <col min="15" max="15" width="12.775" style="78" hidden="1" customWidth="1"/>
    <col min="16" max="16384" width="8.83333333333333" style="78"/>
  </cols>
  <sheetData>
    <row r="1" ht="16.25" customHeight="1" spans="1:15">
      <c r="A1" s="81" t="s">
        <v>39</v>
      </c>
      <c r="B1" s="81"/>
      <c r="C1" s="81"/>
      <c r="D1" s="81"/>
      <c r="E1" s="81"/>
      <c r="F1" s="81"/>
      <c r="G1" s="81"/>
      <c r="H1" s="81"/>
    </row>
    <row r="2" ht="34.75" customHeight="1" spans="1:15">
      <c r="A2" s="81"/>
      <c r="B2" s="81"/>
      <c r="C2" s="81"/>
      <c r="D2" s="81"/>
      <c r="E2" s="81"/>
      <c r="F2" s="81"/>
      <c r="G2" s="81"/>
      <c r="H2" s="81"/>
      <c r="K2" s="42" t="s">
        <v>40</v>
      </c>
      <c r="L2"/>
      <c r="M2"/>
      <c r="N2"/>
      <c r="O2"/>
    </row>
    <row r="3" s="77" customFormat="1" ht="22" customHeight="1" spans="1:15">
      <c r="A3" s="233" t="s">
        <v>41</v>
      </c>
      <c r="B3" s="234" t="s">
        <v>42</v>
      </c>
      <c r="C3" s="234"/>
      <c r="D3" s="233" t="s">
        <v>43</v>
      </c>
      <c r="E3" s="235">
        <f>24/31*100%</f>
        <v>0.774193548387097</v>
      </c>
      <c r="F3" s="236"/>
      <c r="G3" s="236"/>
      <c r="I3" s="82"/>
      <c r="J3" s="82"/>
      <c r="K3"/>
      <c r="L3" s="43" t="s">
        <v>44</v>
      </c>
      <c r="M3" s="44" t="s">
        <v>45</v>
      </c>
      <c r="N3" s="44" t="s">
        <v>46</v>
      </c>
      <c r="O3" s="44" t="s">
        <v>47</v>
      </c>
    </row>
    <row r="4" s="77" customFormat="1" ht="22" customHeight="1" spans="1:15">
      <c r="A4" s="237" t="str">
        <f>'总表-数据收集'!B5</f>
        <v>花都广本</v>
      </c>
      <c r="B4" s="84"/>
      <c r="C4" s="84"/>
      <c r="D4" s="84"/>
      <c r="E4" s="84"/>
      <c r="F4" s="84"/>
      <c r="G4" s="84"/>
      <c r="H4" s="84"/>
      <c r="I4" s="82">
        <v>5</v>
      </c>
      <c r="J4" s="82"/>
      <c r="K4" s="46" t="s">
        <v>20</v>
      </c>
      <c r="L4">
        <f>'总表-数据收集'!AI5</f>
        <v>3099</v>
      </c>
      <c r="M4">
        <f>'总表-数据收集'!BH5</f>
        <v>1529</v>
      </c>
      <c r="N4">
        <f>'总表-数据收集'!CG5</f>
        <v>1277</v>
      </c>
      <c r="O4">
        <f>'总表-数据收集'!DF5</f>
        <v>731</v>
      </c>
    </row>
    <row r="5" s="77" customFormat="1" ht="22" customHeight="1" spans="1:15">
      <c r="A5" s="238" t="s">
        <v>48</v>
      </c>
      <c r="B5" s="238" t="s">
        <v>49</v>
      </c>
      <c r="C5" s="238" t="s">
        <v>50</v>
      </c>
      <c r="D5" s="238" t="s">
        <v>51</v>
      </c>
      <c r="E5" s="238" t="s">
        <v>52</v>
      </c>
      <c r="F5" s="86" t="s">
        <v>53</v>
      </c>
      <c r="G5" s="86" t="s">
        <v>54</v>
      </c>
      <c r="H5" s="86" t="s">
        <v>55</v>
      </c>
      <c r="I5" s="82"/>
      <c r="J5" s="82"/>
      <c r="K5" s="48" t="s">
        <v>21</v>
      </c>
      <c r="L5">
        <f>'总表-数据收集'!AI6</f>
        <v>869</v>
      </c>
      <c r="M5">
        <f>'总表-数据收集'!BH6</f>
        <v>495</v>
      </c>
      <c r="N5">
        <f>'总表-数据收集'!CG6</f>
        <v>1446</v>
      </c>
      <c r="O5">
        <f>'总表-数据收集'!DF6</f>
        <v>1054</v>
      </c>
    </row>
    <row r="6" s="77" customFormat="1" ht="22" customHeight="1" spans="1:15">
      <c r="A6" s="239" t="s">
        <v>56</v>
      </c>
      <c r="B6" s="240" t="e">
        <f>#REF!</f>
        <v>#REF!</v>
      </c>
      <c r="C6" s="240">
        <f>'总表-数据收集'!F5</f>
        <v>853</v>
      </c>
      <c r="D6" s="241">
        <f>目标数据!F5</f>
        <v>120</v>
      </c>
      <c r="E6" s="242">
        <f>C6/D6</f>
        <v>7.10833333333333</v>
      </c>
      <c r="F6" s="243">
        <f>C6-D6*E3</f>
        <v>760.096774193548</v>
      </c>
      <c r="G6" s="243">
        <f>C6-D6</f>
        <v>733</v>
      </c>
      <c r="H6" s="87"/>
      <c r="I6" s="91"/>
      <c r="J6" s="91"/>
      <c r="K6" s="47" t="s">
        <v>22</v>
      </c>
      <c r="L6">
        <f>'总表-数据收集'!AI7</f>
        <v>1160</v>
      </c>
      <c r="M6">
        <f>'总表-数据收集'!BH7</f>
        <v>681</v>
      </c>
      <c r="N6">
        <f>'总表-数据收集'!CG7</f>
        <v>902</v>
      </c>
      <c r="O6">
        <f>'总表-数据收集'!DF7</f>
        <v>1112</v>
      </c>
    </row>
    <row r="7" s="77" customFormat="1" ht="22" customHeight="1" spans="1:15">
      <c r="A7" s="239" t="s">
        <v>57</v>
      </c>
      <c r="B7" s="240" t="e">
        <f>#REF!</f>
        <v>#REF!</v>
      </c>
      <c r="C7" s="240">
        <f>'总表-数据收集'!G5</f>
        <v>1213</v>
      </c>
      <c r="D7" s="241">
        <f>目标数据!G5</f>
        <v>100</v>
      </c>
      <c r="E7" s="242">
        <f t="shared" ref="E7:E10" si="0">C7/D7</f>
        <v>12.13</v>
      </c>
      <c r="F7" s="243">
        <f>C7-D7*E3</f>
        <v>1135.58064516129</v>
      </c>
      <c r="G7" s="243">
        <f t="shared" ref="G7:G10" si="1">C7-D7</f>
        <v>1113</v>
      </c>
      <c r="H7" s="87"/>
      <c r="I7" s="91"/>
      <c r="J7" s="91"/>
      <c r="K7" s="49" t="s">
        <v>23</v>
      </c>
      <c r="L7">
        <f>'总表-数据收集'!AI8</f>
        <v>579</v>
      </c>
      <c r="M7">
        <f>'总表-数据收集'!BH8</f>
        <v>302</v>
      </c>
      <c r="N7">
        <f>'总表-数据收集'!CG8</f>
        <v>870</v>
      </c>
      <c r="O7">
        <f>'总表-数据收集'!DF8</f>
        <v>557</v>
      </c>
    </row>
    <row r="8" s="77" customFormat="1" ht="22" customHeight="1" spans="1:15">
      <c r="A8" s="239" t="s">
        <v>58</v>
      </c>
      <c r="B8" s="240" t="e">
        <f>#REF!</f>
        <v>#REF!</v>
      </c>
      <c r="C8" s="240">
        <f>'总表-数据收集'!H5</f>
        <v>8849</v>
      </c>
      <c r="D8" s="241">
        <f>目标数据!M5</f>
        <v>1200</v>
      </c>
      <c r="E8" s="242">
        <f t="shared" si="0"/>
        <v>7.37416666666667</v>
      </c>
      <c r="F8" s="243">
        <f>C8-D8*E3</f>
        <v>7919.96774193548</v>
      </c>
      <c r="G8" s="243">
        <f t="shared" si="1"/>
        <v>7649</v>
      </c>
      <c r="H8" s="87"/>
      <c r="I8" s="91"/>
      <c r="J8" s="91"/>
      <c r="K8" s="50" t="s">
        <v>24</v>
      </c>
      <c r="L8">
        <f>'总表-数据收集'!AI9</f>
        <v>68</v>
      </c>
      <c r="M8">
        <f>'总表-数据收集'!BH9</f>
        <v>369</v>
      </c>
      <c r="N8">
        <f>'总表-数据收集'!CG9</f>
        <v>345</v>
      </c>
      <c r="O8">
        <f>'总表-数据收集'!DF9</f>
        <v>384</v>
      </c>
    </row>
    <row r="9" s="77" customFormat="1" ht="22" customHeight="1" spans="1:15">
      <c r="A9" s="239" t="s">
        <v>59</v>
      </c>
      <c r="B9" s="240" t="e">
        <f>#REF!</f>
        <v>#REF!</v>
      </c>
      <c r="C9" s="240">
        <f>'总表-数据收集'!R5</f>
        <v>209</v>
      </c>
      <c r="D9" s="241">
        <f>目标数据!O5</f>
        <v>50</v>
      </c>
      <c r="E9" s="242">
        <f t="shared" si="0"/>
        <v>4.18</v>
      </c>
      <c r="F9" s="243">
        <f>C9-D9*E3</f>
        <v>170.290322580645</v>
      </c>
      <c r="G9" s="243">
        <f t="shared" si="1"/>
        <v>159</v>
      </c>
      <c r="H9" s="87"/>
      <c r="I9" s="91"/>
      <c r="J9" s="91"/>
      <c r="K9" s="49" t="s">
        <v>25</v>
      </c>
      <c r="L9">
        <f>'总表-数据收集'!AI10</f>
        <v>683</v>
      </c>
      <c r="M9">
        <f>'总表-数据收集'!BH10</f>
        <v>765</v>
      </c>
      <c r="N9">
        <f>'总表-数据收集'!CG10</f>
        <v>867</v>
      </c>
      <c r="O9">
        <f>'总表-数据收集'!DF10</f>
        <v>593</v>
      </c>
    </row>
    <row r="10" s="77" customFormat="1" ht="22" customHeight="1" spans="1:15">
      <c r="A10" s="239" t="s">
        <v>60</v>
      </c>
      <c r="B10" s="240" t="e">
        <f>#REF!</f>
        <v>#REF!</v>
      </c>
      <c r="C10" s="240">
        <f>'总表-数据收集'!U5</f>
        <v>83</v>
      </c>
      <c r="D10" s="241">
        <f>目标数据!P5</f>
        <v>25</v>
      </c>
      <c r="E10" s="242">
        <f t="shared" si="0"/>
        <v>3.32</v>
      </c>
      <c r="F10" s="243">
        <f>C10-D10*E3</f>
        <v>63.6451612903226</v>
      </c>
      <c r="G10" s="243">
        <f t="shared" si="1"/>
        <v>58</v>
      </c>
      <c r="H10" s="87"/>
      <c r="I10" s="91"/>
      <c r="J10" s="91"/>
      <c r="K10" s="51" t="s">
        <v>26</v>
      </c>
      <c r="L10">
        <f>'总表-数据收集'!AI11</f>
        <v>502</v>
      </c>
      <c r="M10">
        <f>'总表-数据收集'!BH11</f>
        <v>181</v>
      </c>
      <c r="N10">
        <f>'总表-数据收集'!CG11</f>
        <v>394</v>
      </c>
      <c r="O10">
        <f>'总表-数据收集'!DF11</f>
        <v>316</v>
      </c>
    </row>
    <row r="11" s="77" customFormat="1" ht="22" customHeight="1" spans="1:15">
      <c r="A11" s="239" t="s">
        <v>61</v>
      </c>
      <c r="B11" s="244">
        <f>'总表-数据收集'!X5</f>
        <v>0.038</v>
      </c>
      <c r="C11" s="244"/>
      <c r="D11" s="244"/>
      <c r="E11" s="244"/>
      <c r="F11" s="244"/>
      <c r="G11" s="244"/>
      <c r="I11" s="82"/>
      <c r="J11" s="82"/>
      <c r="K11" s="49" t="s">
        <v>27</v>
      </c>
      <c r="L11">
        <f>'总表-数据收集'!AI12</f>
        <v>0</v>
      </c>
      <c r="M11">
        <f>'总表-数据收集'!BH12</f>
        <v>0</v>
      </c>
      <c r="N11">
        <f>'总表-数据收集'!CG12</f>
        <v>461</v>
      </c>
      <c r="O11">
        <f>'总表-数据收集'!DF12</f>
        <v>497</v>
      </c>
    </row>
    <row r="12" s="77" customFormat="1" ht="22" customHeight="1" spans="1:15">
      <c r="A12" s="239" t="s">
        <v>62</v>
      </c>
      <c r="B12" s="245">
        <f>'总表-数据收集'!AC5</f>
        <v>77</v>
      </c>
      <c r="C12" s="245"/>
      <c r="D12" s="245"/>
      <c r="E12" s="245"/>
      <c r="F12" s="245"/>
      <c r="G12" s="245"/>
      <c r="I12" s="82"/>
      <c r="J12" s="82"/>
      <c r="K12" s="49" t="s">
        <v>28</v>
      </c>
      <c r="L12">
        <f>'总表-数据收集'!AI13</f>
        <v>343</v>
      </c>
      <c r="M12">
        <f>'总表-数据收集'!BH13</f>
        <v>351</v>
      </c>
      <c r="N12">
        <f>'总表-数据收集'!CG13</f>
        <v>471</v>
      </c>
      <c r="O12">
        <f>'总表-数据收集'!DF13</f>
        <v>324</v>
      </c>
    </row>
    <row r="13" s="77" customFormat="1" ht="22" hidden="1" customHeight="1" spans="1:15">
      <c r="A13" s="82"/>
      <c r="B13" s="246"/>
      <c r="C13" s="246"/>
      <c r="D13" s="246"/>
      <c r="E13" s="246"/>
      <c r="F13" s="246"/>
      <c r="G13" s="246"/>
      <c r="I13" s="82"/>
      <c r="J13" s="82"/>
      <c r="K13" s="52" t="s">
        <v>29</v>
      </c>
      <c r="L13">
        <f>'总表-数据收集'!AI14</f>
        <v>467</v>
      </c>
      <c r="M13">
        <f>'总表-数据收集'!BH14</f>
        <v>671</v>
      </c>
      <c r="N13">
        <f>'总表-数据收集'!CG14</f>
        <v>1074</v>
      </c>
      <c r="O13">
        <f>'总表-数据收集'!DF14</f>
        <v>840</v>
      </c>
    </row>
    <row r="14" s="77" customFormat="1" ht="22" hidden="1" customHeight="1" spans="1:15">
      <c r="A14" s="82"/>
      <c r="B14" s="246"/>
      <c r="C14" s="246"/>
      <c r="D14" s="246"/>
      <c r="E14" s="246"/>
      <c r="F14" s="246"/>
      <c r="G14" s="246"/>
      <c r="I14" s="82"/>
      <c r="J14" s="82"/>
      <c r="K14" s="49" t="s">
        <v>30</v>
      </c>
      <c r="L14">
        <f>'总表-数据收集'!AI15</f>
        <v>593</v>
      </c>
      <c r="M14">
        <f>'总表-数据收集'!BH15</f>
        <v>461</v>
      </c>
      <c r="N14">
        <f>'总表-数据收集'!CG15</f>
        <v>1200</v>
      </c>
      <c r="O14">
        <f>'总表-数据收集'!DF15</f>
        <v>1337</v>
      </c>
    </row>
    <row r="15" s="77" customFormat="1" ht="22" customHeight="1" spans="1:15">
      <c r="A15" s="82"/>
      <c r="B15" s="82"/>
      <c r="C15" s="82"/>
      <c r="D15" s="82"/>
      <c r="E15" s="82"/>
      <c r="F15" s="82"/>
      <c r="G15" s="82"/>
      <c r="I15" s="82"/>
      <c r="J15" s="82"/>
      <c r="K15" s="52" t="s">
        <v>31</v>
      </c>
      <c r="L15">
        <f>'总表-数据收集'!AI16</f>
        <v>319</v>
      </c>
      <c r="M15">
        <f>'总表-数据收集'!BH16</f>
        <v>282</v>
      </c>
      <c r="N15">
        <f>'总表-数据收集'!CG16</f>
        <v>338</v>
      </c>
      <c r="O15">
        <f>'总表-数据收集'!DF16</f>
        <v>365</v>
      </c>
    </row>
    <row r="16" s="77" customFormat="1" ht="22" customHeight="1" spans="1:15">
      <c r="A16" s="88" t="str">
        <f>'总表-数据收集'!B6</f>
        <v>花都建设北零跑</v>
      </c>
      <c r="B16" s="88"/>
      <c r="C16" s="88"/>
      <c r="D16" s="88"/>
      <c r="E16" s="88"/>
      <c r="F16" s="88"/>
      <c r="G16" s="88"/>
      <c r="H16" s="88"/>
      <c r="I16" s="82">
        <v>6</v>
      </c>
      <c r="J16" s="82"/>
      <c r="K16" s="49" t="s">
        <v>32</v>
      </c>
      <c r="L16">
        <f>'总表-数据收集'!AI17</f>
        <v>539</v>
      </c>
      <c r="M16">
        <f>'总表-数据收集'!BH17</f>
        <v>525</v>
      </c>
      <c r="N16">
        <f>'总表-数据收集'!CG17</f>
        <v>331</v>
      </c>
      <c r="O16">
        <f>'总表-数据收集'!DF17</f>
        <v>719</v>
      </c>
    </row>
    <row r="17" s="77" customFormat="1" ht="22" customHeight="1" spans="1:15">
      <c r="A17" s="247" t="s">
        <v>48</v>
      </c>
      <c r="B17" s="247" t="s">
        <v>49</v>
      </c>
      <c r="C17" s="247" t="s">
        <v>50</v>
      </c>
      <c r="D17" s="247" t="s">
        <v>51</v>
      </c>
      <c r="E17" s="247" t="s">
        <v>52</v>
      </c>
      <c r="F17" s="86" t="s">
        <v>53</v>
      </c>
      <c r="G17" s="86" t="s">
        <v>54</v>
      </c>
      <c r="H17" s="86" t="s">
        <v>55</v>
      </c>
      <c r="I17" s="82"/>
      <c r="J17" s="82"/>
      <c r="K17" s="52" t="s">
        <v>33</v>
      </c>
      <c r="L17">
        <f>'总表-数据收集'!AI18</f>
        <v>260</v>
      </c>
      <c r="M17">
        <f>'总表-数据收集'!BH18</f>
        <v>212</v>
      </c>
      <c r="N17">
        <f>'总表-数据收集'!CG18</f>
        <v>225</v>
      </c>
      <c r="O17">
        <f>'总表-数据收集'!DF18</f>
        <v>220</v>
      </c>
    </row>
    <row r="18" s="77" customFormat="1" ht="22" customHeight="1" spans="1:15">
      <c r="A18" s="248" t="s">
        <v>56</v>
      </c>
      <c r="B18" s="249" t="e">
        <f>#REF!</f>
        <v>#REF!</v>
      </c>
      <c r="C18" s="240">
        <f>'总表-数据收集'!F6</f>
        <v>563</v>
      </c>
      <c r="D18" s="241">
        <f>目标数据!F6</f>
        <v>80</v>
      </c>
      <c r="E18" s="250">
        <f>C18/D18</f>
        <v>7.0375</v>
      </c>
      <c r="F18" s="251">
        <f>C18-D18*E3</f>
        <v>501.064516129032</v>
      </c>
      <c r="G18" s="251">
        <f>C18-D18</f>
        <v>483</v>
      </c>
      <c r="H18" s="89"/>
      <c r="I18" s="82"/>
      <c r="J18" s="82"/>
      <c r="K18" s="49" t="s">
        <v>34</v>
      </c>
      <c r="L18">
        <f>'总表-数据收集'!AI19</f>
        <v>19</v>
      </c>
      <c r="M18">
        <f>'总表-数据收集'!BH19</f>
        <v>2</v>
      </c>
      <c r="N18">
        <f>'总表-数据收集'!CG19</f>
        <v>22</v>
      </c>
      <c r="O18">
        <f>'总表-数据收集'!DF19</f>
        <v>74</v>
      </c>
    </row>
    <row r="19" s="77" customFormat="1" ht="22" customHeight="1" spans="1:15">
      <c r="A19" s="248" t="s">
        <v>57</v>
      </c>
      <c r="B19" s="249" t="e">
        <f>#REF!</f>
        <v>#REF!</v>
      </c>
      <c r="C19" s="240">
        <f>'总表-数据收集'!G6</f>
        <v>847</v>
      </c>
      <c r="D19" s="241">
        <f>目标数据!G6</f>
        <v>90</v>
      </c>
      <c r="E19" s="252">
        <f t="shared" ref="E19:E22" si="2">C19/D19</f>
        <v>9.41111111111111</v>
      </c>
      <c r="F19" s="251">
        <f>C19-D19*E3</f>
        <v>777.322580645161</v>
      </c>
      <c r="G19" s="251">
        <f t="shared" ref="G19:G22" si="3">C19-D19</f>
        <v>757</v>
      </c>
      <c r="H19" s="89"/>
      <c r="I19" s="82"/>
      <c r="J19" s="82"/>
      <c r="K19" s="52" t="s">
        <v>35</v>
      </c>
      <c r="L19">
        <f>'总表-数据收集'!AI20</f>
        <v>550</v>
      </c>
      <c r="M19">
        <f>'总表-数据收集'!BH20</f>
        <v>285</v>
      </c>
      <c r="N19">
        <f>'总表-数据收集'!CG20</f>
        <v>393</v>
      </c>
      <c r="O19">
        <f>'总表-数据收集'!DF20</f>
        <v>941</v>
      </c>
    </row>
    <row r="20" s="77" customFormat="1" ht="22" customHeight="1" spans="1:15">
      <c r="A20" s="248" t="s">
        <v>58</v>
      </c>
      <c r="B20" s="249" t="e">
        <f>#REF!</f>
        <v>#REF!</v>
      </c>
      <c r="C20" s="240">
        <f>'总表-数据收集'!H6</f>
        <v>6156</v>
      </c>
      <c r="D20" s="241">
        <f>目标数据!M6</f>
        <v>1400</v>
      </c>
      <c r="E20" s="250">
        <f t="shared" si="2"/>
        <v>4.39714285714286</v>
      </c>
      <c r="F20" s="251">
        <f>C20-D20*E3</f>
        <v>5072.12903225806</v>
      </c>
      <c r="G20" s="251">
        <f t="shared" si="3"/>
        <v>4756</v>
      </c>
      <c r="H20" s="89"/>
      <c r="I20" s="82"/>
      <c r="J20" s="82"/>
      <c r="K20" s="49" t="s">
        <v>36</v>
      </c>
      <c r="L20">
        <f>'总表-数据收集'!AI21</f>
        <v>188</v>
      </c>
      <c r="M20">
        <f>'总表-数据收集'!BH21</f>
        <v>84</v>
      </c>
      <c r="N20">
        <f>'总表-数据收集'!CG21</f>
        <v>282</v>
      </c>
      <c r="O20">
        <f>'总表-数据收集'!DF21</f>
        <v>398</v>
      </c>
    </row>
    <row r="21" s="77" customFormat="1" ht="22" customHeight="1" spans="1:15">
      <c r="A21" s="248" t="s">
        <v>59</v>
      </c>
      <c r="B21" s="249" t="e">
        <f>#REF!</f>
        <v>#REF!</v>
      </c>
      <c r="C21" s="240">
        <f>'总表-数据收集'!R6</f>
        <v>200</v>
      </c>
      <c r="D21" s="241">
        <f>目标数据!O6</f>
        <v>80</v>
      </c>
      <c r="E21" s="252">
        <f t="shared" si="2"/>
        <v>2.5</v>
      </c>
      <c r="F21" s="251">
        <f>C21-D21*E3</f>
        <v>138.064516129032</v>
      </c>
      <c r="G21" s="251">
        <f t="shared" si="3"/>
        <v>120</v>
      </c>
      <c r="H21" s="89"/>
      <c r="I21" s="82"/>
      <c r="J21" s="82"/>
      <c r="K21" s="42" t="s">
        <v>63</v>
      </c>
      <c r="L21"/>
      <c r="M21"/>
      <c r="N21"/>
      <c r="O21"/>
    </row>
    <row r="22" s="77" customFormat="1" ht="22" customHeight="1" spans="1:15">
      <c r="A22" s="248" t="s">
        <v>60</v>
      </c>
      <c r="B22" s="249" t="e">
        <f>#REF!</f>
        <v>#REF!</v>
      </c>
      <c r="C22" s="240">
        <f>'总表-数据收集'!U6</f>
        <v>59</v>
      </c>
      <c r="D22" s="241">
        <f>目标数据!P6</f>
        <v>20</v>
      </c>
      <c r="E22" s="252">
        <f t="shared" si="2"/>
        <v>2.95</v>
      </c>
      <c r="F22" s="251">
        <f>C22-D22*E3</f>
        <v>43.5161290322581</v>
      </c>
      <c r="G22" s="251">
        <f t="shared" si="3"/>
        <v>39</v>
      </c>
      <c r="H22" s="90"/>
      <c r="I22" s="91"/>
      <c r="J22" s="91"/>
      <c r="K22" s="42"/>
      <c r="L22" s="43" t="s">
        <v>44</v>
      </c>
      <c r="M22" s="44" t="s">
        <v>45</v>
      </c>
      <c r="N22" s="44" t="s">
        <v>46</v>
      </c>
      <c r="O22" s="44" t="s">
        <v>47</v>
      </c>
    </row>
    <row r="23" s="77" customFormat="1" ht="22" customHeight="1" spans="1:15">
      <c r="A23" s="248" t="s">
        <v>61</v>
      </c>
      <c r="B23" s="250">
        <f>'总表-数据收集'!X6</f>
        <v>0.1333</v>
      </c>
      <c r="C23" s="250"/>
      <c r="D23" s="250"/>
      <c r="E23" s="250"/>
      <c r="F23" s="250"/>
      <c r="G23" s="250"/>
      <c r="H23" s="90"/>
      <c r="I23" s="91"/>
      <c r="J23" s="91"/>
      <c r="K23" s="46" t="s">
        <v>20</v>
      </c>
      <c r="L23">
        <f>'总表-数据收集'!AS5</f>
        <v>77</v>
      </c>
      <c r="M23">
        <f>'总表-数据收集'!BR5</f>
        <v>22</v>
      </c>
      <c r="N23">
        <f>'总表-数据收集'!CQ5</f>
        <v>29</v>
      </c>
      <c r="O23">
        <f>'总表-数据收集'!DP5</f>
        <v>22</v>
      </c>
    </row>
    <row r="24" s="77" customFormat="1" ht="22" customHeight="1" spans="1:15">
      <c r="A24" s="248" t="s">
        <v>62</v>
      </c>
      <c r="B24" s="253">
        <f>'总表-数据收集'!AC6</f>
        <v>0</v>
      </c>
      <c r="C24" s="253"/>
      <c r="D24" s="253"/>
      <c r="E24" s="253"/>
      <c r="F24" s="253"/>
      <c r="G24" s="253"/>
      <c r="H24" s="87"/>
      <c r="I24" s="91"/>
      <c r="J24" s="91"/>
      <c r="K24" s="48" t="s">
        <v>21</v>
      </c>
      <c r="L24">
        <f>'总表-数据收集'!AS6</f>
        <v>25</v>
      </c>
      <c r="M24">
        <f>'总表-数据收集'!BR6</f>
        <v>13</v>
      </c>
      <c r="N24">
        <f>'总表-数据收集'!CQ6</f>
        <v>26</v>
      </c>
      <c r="O24">
        <f>'总表-数据收集'!DP6</f>
        <v>51</v>
      </c>
    </row>
    <row r="25" s="77" customFormat="1" ht="22" customHeight="1" spans="1:15">
      <c r="A25" s="82"/>
      <c r="B25" s="82"/>
      <c r="C25" s="82"/>
      <c r="D25" s="82"/>
      <c r="E25" s="82"/>
      <c r="F25" s="82"/>
      <c r="G25" s="82"/>
      <c r="H25" s="90"/>
      <c r="I25" s="91"/>
      <c r="J25" s="91"/>
      <c r="K25" s="47" t="s">
        <v>22</v>
      </c>
      <c r="L25">
        <f>'总表-数据收集'!AS7</f>
        <v>27</v>
      </c>
      <c r="M25">
        <f>'总表-数据收集'!BR7</f>
        <v>21</v>
      </c>
      <c r="N25">
        <f>'总表-数据收集'!CQ7</f>
        <v>31</v>
      </c>
      <c r="O25">
        <f>'总表-数据收集'!DP7</f>
        <v>60</v>
      </c>
    </row>
    <row r="26" s="77" customFormat="1" ht="22" customHeight="1" spans="1:15">
      <c r="A26" s="92" t="str">
        <f>'总表-数据收集'!B7</f>
        <v>白云零跑</v>
      </c>
      <c r="B26" s="92"/>
      <c r="C26" s="92"/>
      <c r="D26" s="92"/>
      <c r="E26" s="92"/>
      <c r="F26" s="92"/>
      <c r="G26" s="92"/>
      <c r="H26" s="90"/>
      <c r="I26" s="82">
        <v>7</v>
      </c>
      <c r="J26" s="91"/>
      <c r="K26" s="49" t="s">
        <v>23</v>
      </c>
      <c r="L26">
        <f>'总表-数据收集'!AS8</f>
        <v>22</v>
      </c>
      <c r="M26">
        <f>'总表-数据收集'!BR8</f>
        <v>8</v>
      </c>
      <c r="N26">
        <f>'总表-数据收集'!CQ8</f>
        <v>27</v>
      </c>
      <c r="O26">
        <f>'总表-数据收集'!DP8</f>
        <v>15</v>
      </c>
    </row>
    <row r="27" s="77" customFormat="1" ht="22" customHeight="1" spans="1:15">
      <c r="A27" s="247" t="s">
        <v>48</v>
      </c>
      <c r="B27" s="247" t="s">
        <v>49</v>
      </c>
      <c r="C27" s="247" t="s">
        <v>50</v>
      </c>
      <c r="D27" s="247" t="s">
        <v>51</v>
      </c>
      <c r="E27" s="247" t="s">
        <v>52</v>
      </c>
      <c r="F27" s="254" t="s">
        <v>53</v>
      </c>
      <c r="G27" s="254" t="s">
        <v>54</v>
      </c>
      <c r="I27" s="82"/>
      <c r="J27" s="82"/>
      <c r="K27" s="50" t="s">
        <v>24</v>
      </c>
      <c r="L27">
        <f>'总表-数据收集'!AS9</f>
        <v>10</v>
      </c>
      <c r="M27">
        <f>'总表-数据收集'!BR9</f>
        <v>16</v>
      </c>
      <c r="N27">
        <f>'总表-数据收集'!CQ9</f>
        <v>18</v>
      </c>
      <c r="O27">
        <f>'总表-数据收集'!DP9</f>
        <v>25</v>
      </c>
    </row>
    <row r="28" s="77" customFormat="1" ht="22" customHeight="1" spans="1:15">
      <c r="A28" s="255" t="s">
        <v>56</v>
      </c>
      <c r="B28" s="255" t="e">
        <f>#REF!</f>
        <v>#REF!</v>
      </c>
      <c r="C28" s="239">
        <f>'总表-数据收集'!F7</f>
        <v>625</v>
      </c>
      <c r="D28" s="256">
        <f>目标数据!F7</f>
        <v>80</v>
      </c>
      <c r="E28" s="257">
        <f>C28/D28</f>
        <v>7.8125</v>
      </c>
      <c r="F28" s="258">
        <f>C28-D28*E3</f>
        <v>563.064516129032</v>
      </c>
      <c r="G28" s="258">
        <f>C28-D28</f>
        <v>545</v>
      </c>
      <c r="I28" s="82"/>
      <c r="J28" s="82"/>
      <c r="K28" s="49" t="s">
        <v>25</v>
      </c>
      <c r="L28">
        <f>'总表-数据收集'!AS10</f>
        <v>41</v>
      </c>
      <c r="M28">
        <f>'总表-数据收集'!BR10</f>
        <v>29</v>
      </c>
      <c r="N28">
        <f>'总表-数据收集'!CQ10</f>
        <v>50</v>
      </c>
      <c r="O28">
        <f>'总表-数据收集'!DP10</f>
        <v>33</v>
      </c>
    </row>
    <row r="29" s="77" customFormat="1" ht="19" customHeight="1" spans="1:15">
      <c r="A29" s="255" t="s">
        <v>57</v>
      </c>
      <c r="B29" s="255" t="e">
        <f>#REF!</f>
        <v>#REF!</v>
      </c>
      <c r="C29" s="239">
        <f>'总表-数据收集'!G7</f>
        <v>1105</v>
      </c>
      <c r="D29" s="256">
        <f>目标数据!G7</f>
        <v>80</v>
      </c>
      <c r="E29" s="257">
        <f t="shared" ref="E29:E32" si="4">C29/D29</f>
        <v>13.8125</v>
      </c>
      <c r="F29" s="258">
        <f>C29-D29*E3</f>
        <v>1043.06451612903</v>
      </c>
      <c r="G29" s="258">
        <f t="shared" ref="G29:G32" si="5">C29-D29</f>
        <v>1025</v>
      </c>
      <c r="I29" s="82"/>
      <c r="J29" s="82"/>
      <c r="K29" s="51" t="s">
        <v>26</v>
      </c>
      <c r="L29">
        <f>'总表-数据收集'!AS11</f>
        <v>76</v>
      </c>
      <c r="M29">
        <f>'总表-数据收集'!BR11</f>
        <v>27</v>
      </c>
      <c r="N29">
        <f>'总表-数据收集'!CQ11</f>
        <v>52</v>
      </c>
      <c r="O29">
        <f>'总表-数据收集'!DP11</f>
        <v>37</v>
      </c>
    </row>
    <row r="30" s="77" customFormat="1" ht="22" customHeight="1" spans="1:15">
      <c r="A30" s="255" t="s">
        <v>58</v>
      </c>
      <c r="B30" s="255" t="e">
        <f>#REF!</f>
        <v>#REF!</v>
      </c>
      <c r="C30" s="239">
        <f>'总表-数据收集'!H7</f>
        <v>6353</v>
      </c>
      <c r="D30" s="248">
        <f>目标数据!M7</f>
        <v>600</v>
      </c>
      <c r="E30" s="257">
        <f t="shared" si="4"/>
        <v>10.5883333333333</v>
      </c>
      <c r="F30" s="258">
        <f>C30-D30*E3</f>
        <v>5888.48387096774</v>
      </c>
      <c r="G30" s="258">
        <f t="shared" si="5"/>
        <v>5753</v>
      </c>
      <c r="H30" s="92"/>
      <c r="I30" s="82"/>
      <c r="J30" s="82"/>
      <c r="K30" s="49" t="s">
        <v>27</v>
      </c>
      <c r="L30">
        <f>'总表-数据收集'!AS12</f>
        <v>0</v>
      </c>
      <c r="M30">
        <f>'总表-数据收集'!BR12</f>
        <v>0</v>
      </c>
      <c r="N30">
        <f>'总表-数据收集'!CQ12</f>
        <v>41</v>
      </c>
      <c r="O30">
        <f>'总表-数据收集'!DP12</f>
        <v>25</v>
      </c>
    </row>
    <row r="31" s="77" customFormat="1" ht="22" customHeight="1" spans="1:15">
      <c r="A31" s="255" t="s">
        <v>59</v>
      </c>
      <c r="B31" s="255" t="e">
        <f>#REF!</f>
        <v>#REF!</v>
      </c>
      <c r="C31" s="239">
        <f>'总表-数据收集'!R7</f>
        <v>288</v>
      </c>
      <c r="D31" s="248">
        <f>目标数据!O7</f>
        <v>60</v>
      </c>
      <c r="E31" s="259">
        <f t="shared" si="4"/>
        <v>4.8</v>
      </c>
      <c r="F31" s="258">
        <f>C31-D31*E3</f>
        <v>241.548387096774</v>
      </c>
      <c r="G31" s="258">
        <f t="shared" si="5"/>
        <v>228</v>
      </c>
      <c r="H31" s="86" t="s">
        <v>55</v>
      </c>
      <c r="I31" s="82"/>
      <c r="J31" s="82"/>
      <c r="K31" s="52" t="s">
        <v>28</v>
      </c>
      <c r="L31">
        <f>'总表-数据收集'!AS13</f>
        <v>17</v>
      </c>
      <c r="M31">
        <f>'总表-数据收集'!BR13</f>
        <v>9</v>
      </c>
      <c r="N31">
        <f>'总表-数据收集'!CQ13</f>
        <v>22</v>
      </c>
      <c r="O31">
        <f>'总表-数据收集'!DP13</f>
        <v>10</v>
      </c>
    </row>
    <row r="32" s="77" customFormat="1" ht="22" customHeight="1" spans="1:15">
      <c r="A32" s="255" t="s">
        <v>60</v>
      </c>
      <c r="B32" s="255" t="e">
        <f>#REF!</f>
        <v>#REF!</v>
      </c>
      <c r="C32" s="239">
        <f>'总表-数据收集'!U7</f>
        <v>103</v>
      </c>
      <c r="D32" s="248">
        <f>目标数据!P7</f>
        <v>15</v>
      </c>
      <c r="E32" s="257">
        <f t="shared" si="4"/>
        <v>6.86666666666667</v>
      </c>
      <c r="F32" s="258">
        <f>C32-D32*E3</f>
        <v>91.3870967741935</v>
      </c>
      <c r="G32" s="258">
        <f t="shared" si="5"/>
        <v>88</v>
      </c>
      <c r="I32" s="82"/>
      <c r="J32" s="82"/>
      <c r="K32" s="49" t="s">
        <v>29</v>
      </c>
      <c r="L32">
        <f>'总表-数据收集'!AS14</f>
        <v>99</v>
      </c>
      <c r="M32">
        <f>'总表-数据收集'!BR14</f>
        <v>67</v>
      </c>
      <c r="N32">
        <f>'总表-数据收集'!CQ14</f>
        <v>91</v>
      </c>
      <c r="O32">
        <f>'总表-数据收集'!DP14</f>
        <v>127</v>
      </c>
    </row>
    <row r="33" s="77" customFormat="1" ht="22" customHeight="1" spans="1:15">
      <c r="A33" s="255" t="s">
        <v>61</v>
      </c>
      <c r="B33" s="257">
        <f>'总表-数据收集'!X7</f>
        <v>0.25</v>
      </c>
      <c r="C33" s="257"/>
      <c r="D33" s="257"/>
      <c r="E33" s="257"/>
      <c r="F33" s="257"/>
      <c r="G33" s="257"/>
      <c r="I33" s="82"/>
      <c r="J33" s="82"/>
      <c r="K33" s="49" t="s">
        <v>30</v>
      </c>
      <c r="L33">
        <f>'总表-数据收集'!AS15</f>
        <v>54</v>
      </c>
      <c r="M33">
        <f>'总表-数据收集'!BR15</f>
        <v>47</v>
      </c>
      <c r="N33">
        <f>'总表-数据收集'!CQ15</f>
        <v>92</v>
      </c>
      <c r="O33">
        <f>'总表-数据收集'!DP15</f>
        <v>120</v>
      </c>
    </row>
    <row r="34" s="77" customFormat="1" ht="22" customHeight="1" spans="1:15">
      <c r="A34" s="255" t="s">
        <v>62</v>
      </c>
      <c r="B34" s="253">
        <f>'总表-数据收集'!AC7</f>
        <v>263</v>
      </c>
      <c r="C34" s="253"/>
      <c r="D34" s="253"/>
      <c r="E34" s="253"/>
      <c r="F34" s="253"/>
      <c r="G34" s="253"/>
      <c r="I34" s="82"/>
      <c r="J34" s="82"/>
      <c r="K34" s="52" t="s">
        <v>31</v>
      </c>
      <c r="L34">
        <f>'总表-数据收集'!AS16</f>
        <v>54</v>
      </c>
      <c r="M34">
        <f>'总表-数据收集'!BR16</f>
        <v>11</v>
      </c>
      <c r="N34">
        <f>'总表-数据收集'!CQ16</f>
        <v>39</v>
      </c>
      <c r="O34">
        <f>'总表-数据收集'!DP16</f>
        <v>42</v>
      </c>
    </row>
    <row r="35" s="77" customFormat="1" ht="22" hidden="1" customHeight="1" spans="1:15">
      <c r="A35" s="82"/>
      <c r="B35" s="246"/>
      <c r="C35" s="246"/>
      <c r="D35" s="246"/>
      <c r="E35" s="246"/>
      <c r="F35" s="246"/>
      <c r="G35" s="246"/>
      <c r="I35" s="82"/>
      <c r="J35" s="82"/>
      <c r="K35" s="49" t="s">
        <v>32</v>
      </c>
      <c r="L35">
        <f>'总表-数据收集'!AS17</f>
        <v>1</v>
      </c>
      <c r="M35">
        <f>'总表-数据收集'!BR17</f>
        <v>4</v>
      </c>
      <c r="N35">
        <f>'总表-数据收集'!CQ17</f>
        <v>11</v>
      </c>
      <c r="O35">
        <f>'总表-数据收集'!DP17</f>
        <v>25</v>
      </c>
    </row>
    <row r="36" s="77" customFormat="1" ht="22" customHeight="1" spans="1:15">
      <c r="A36" s="82"/>
      <c r="B36" s="82"/>
      <c r="C36" s="82"/>
      <c r="D36" s="82"/>
      <c r="E36" s="82"/>
      <c r="F36" s="82"/>
      <c r="G36" s="82"/>
      <c r="I36" s="82"/>
      <c r="J36" s="82"/>
      <c r="K36" s="52" t="s">
        <v>33</v>
      </c>
      <c r="L36">
        <f>'总表-数据收集'!AS18</f>
        <v>22</v>
      </c>
      <c r="M36">
        <f>'总表-数据收集'!BR18</f>
        <v>6</v>
      </c>
      <c r="N36">
        <f>'总表-数据收集'!CQ18</f>
        <v>11</v>
      </c>
      <c r="O36">
        <f>'总表-数据收集'!DP18</f>
        <v>29</v>
      </c>
    </row>
    <row r="37" s="77" customFormat="1" ht="22" customHeight="1" spans="1:15">
      <c r="A37" s="93" t="str">
        <f>'总表-数据收集'!B8</f>
        <v>花都传祺</v>
      </c>
      <c r="B37" s="93"/>
      <c r="C37" s="93"/>
      <c r="D37" s="93"/>
      <c r="E37" s="93"/>
      <c r="F37" s="93"/>
      <c r="G37" s="93"/>
      <c r="I37" s="82">
        <v>8</v>
      </c>
      <c r="J37" s="82"/>
      <c r="K37" s="49" t="s">
        <v>34</v>
      </c>
      <c r="L37">
        <f>'总表-数据收集'!AS19</f>
        <v>7</v>
      </c>
      <c r="M37">
        <f>'总表-数据收集'!BR19</f>
        <v>1</v>
      </c>
      <c r="N37">
        <f>'总表-数据收集'!CQ19</f>
        <v>3</v>
      </c>
      <c r="O37">
        <f>'总表-数据收集'!DP19</f>
        <v>23</v>
      </c>
    </row>
    <row r="38" s="77" customFormat="1" ht="22" customHeight="1" spans="1:15">
      <c r="A38" s="247" t="s">
        <v>48</v>
      </c>
      <c r="B38" s="247" t="s">
        <v>49</v>
      </c>
      <c r="C38" s="247" t="s">
        <v>50</v>
      </c>
      <c r="D38" s="247" t="s">
        <v>51</v>
      </c>
      <c r="E38" s="247" t="s">
        <v>52</v>
      </c>
      <c r="F38" s="254" t="s">
        <v>53</v>
      </c>
      <c r="G38" s="254" t="s">
        <v>54</v>
      </c>
      <c r="I38" s="82"/>
      <c r="J38" s="82"/>
      <c r="K38" s="52" t="s">
        <v>35</v>
      </c>
      <c r="L38">
        <f>'总表-数据收集'!AS20</f>
        <v>0</v>
      </c>
      <c r="M38">
        <f>'总表-数据收集'!BR20</f>
        <v>3</v>
      </c>
      <c r="N38">
        <f>'总表-数据收集'!CQ20</f>
        <v>8</v>
      </c>
      <c r="O38">
        <f>'总表-数据收集'!DP20</f>
        <v>28</v>
      </c>
    </row>
    <row r="39" s="77" customFormat="1" ht="22" customHeight="1" spans="1:15">
      <c r="A39" s="260" t="s">
        <v>56</v>
      </c>
      <c r="B39" s="260" t="e">
        <f>#REF!</f>
        <v>#REF!</v>
      </c>
      <c r="C39" s="239">
        <f>'总表-数据收集'!F8</f>
        <v>923</v>
      </c>
      <c r="D39" s="261">
        <f>目标数据!F8</f>
        <v>70</v>
      </c>
      <c r="E39" s="262">
        <f>C39/D39</f>
        <v>13.1857142857143</v>
      </c>
      <c r="F39" s="263">
        <f>C39-D39*E3</f>
        <v>868.806451612903</v>
      </c>
      <c r="G39" s="263">
        <f>C39-D39</f>
        <v>853</v>
      </c>
      <c r="I39" s="82"/>
      <c r="J39" s="82"/>
      <c r="K39" s="49" t="s">
        <v>36</v>
      </c>
      <c r="L39">
        <f>'总表-数据收集'!AS21</f>
        <v>2</v>
      </c>
      <c r="M39">
        <f>'总表-数据收集'!BR21</f>
        <v>6</v>
      </c>
      <c r="N39">
        <f>'总表-数据收集'!CQ21</f>
        <v>21</v>
      </c>
      <c r="O39">
        <f>'总表-数据收集'!DP21</f>
        <v>28</v>
      </c>
    </row>
    <row r="40" s="77" customFormat="1" ht="22" customHeight="1" spans="1:15">
      <c r="A40" s="260" t="s">
        <v>57</v>
      </c>
      <c r="B40" s="260" t="e">
        <f>#REF!</f>
        <v>#REF!</v>
      </c>
      <c r="C40" s="239">
        <f>'总表-数据收集'!G8</f>
        <v>962</v>
      </c>
      <c r="D40" s="261">
        <f>目标数据!G8</f>
        <v>70</v>
      </c>
      <c r="E40" s="262">
        <f t="shared" ref="E40:E43" si="6">C40/D40</f>
        <v>13.7428571428571</v>
      </c>
      <c r="F40" s="263">
        <f>C40-D40*E3</f>
        <v>907.806451612903</v>
      </c>
      <c r="G40" s="263">
        <f t="shared" ref="G40:G43" si="7">C40-D40</f>
        <v>892</v>
      </c>
      <c r="I40" s="82"/>
      <c r="J40" s="82"/>
      <c r="K40" s="42" t="s">
        <v>64</v>
      </c>
      <c r="L40" s="43" t="s">
        <v>44</v>
      </c>
      <c r="M40" s="44" t="s">
        <v>45</v>
      </c>
      <c r="N40" s="44" t="s">
        <v>46</v>
      </c>
      <c r="O40" s="44" t="s">
        <v>47</v>
      </c>
    </row>
    <row r="41" s="77" customFormat="1" ht="22" customHeight="1" spans="1:15">
      <c r="A41" s="260" t="s">
        <v>58</v>
      </c>
      <c r="B41" s="260" t="e">
        <f>#REF!</f>
        <v>#REF!</v>
      </c>
      <c r="C41" s="239">
        <f>'总表-数据收集'!H8</f>
        <v>4306</v>
      </c>
      <c r="D41" s="261">
        <f>目标数据!M8</f>
        <v>250</v>
      </c>
      <c r="E41" s="262">
        <f t="shared" si="6"/>
        <v>17.224</v>
      </c>
      <c r="F41" s="263">
        <f>C41-D41*E3</f>
        <v>4112.45161290323</v>
      </c>
      <c r="G41" s="263">
        <f t="shared" si="7"/>
        <v>4056</v>
      </c>
      <c r="I41" s="82"/>
      <c r="J41" s="82"/>
      <c r="K41" s="46" t="s">
        <v>20</v>
      </c>
      <c r="L41">
        <f>'总表-数据收集'!AT5</f>
        <v>36</v>
      </c>
      <c r="M41">
        <f>'总表-数据收集'!BS5</f>
        <v>4</v>
      </c>
      <c r="N41">
        <f>'总表-数据收集'!CR5</f>
        <v>9</v>
      </c>
      <c r="O41">
        <f>'总表-数据收集'!DQ5</f>
        <v>7</v>
      </c>
    </row>
    <row r="42" s="77" customFormat="1" ht="22" customHeight="1" spans="1:15">
      <c r="A42" s="260" t="s">
        <v>59</v>
      </c>
      <c r="B42" s="260" t="e">
        <f>#REF!</f>
        <v>#REF!</v>
      </c>
      <c r="C42" s="239">
        <f>'总表-数据收集'!R8</f>
        <v>155</v>
      </c>
      <c r="D42" s="249">
        <f>目标数据!O8</f>
        <v>30</v>
      </c>
      <c r="E42" s="264">
        <f t="shared" si="6"/>
        <v>5.16666666666667</v>
      </c>
      <c r="F42" s="263">
        <f>C42-D42*E3</f>
        <v>131.774193548387</v>
      </c>
      <c r="G42" s="263">
        <f t="shared" si="7"/>
        <v>125</v>
      </c>
      <c r="I42" s="82"/>
      <c r="J42" s="82"/>
      <c r="K42" s="48" t="s">
        <v>21</v>
      </c>
      <c r="L42">
        <f>'总表-数据收集'!AT6</f>
        <v>6</v>
      </c>
      <c r="M42">
        <f>'总表-数据收集'!BS6</f>
        <v>3</v>
      </c>
      <c r="N42">
        <f>'总表-数据收集'!CR6</f>
        <v>9</v>
      </c>
      <c r="O42">
        <f>'总表-数据收集'!DQ6</f>
        <v>12</v>
      </c>
    </row>
    <row r="43" s="77" customFormat="1" ht="22" customHeight="1" spans="1:15">
      <c r="A43" s="260" t="s">
        <v>60</v>
      </c>
      <c r="B43" s="260" t="e">
        <f>#REF!</f>
        <v>#REF!</v>
      </c>
      <c r="C43" s="239">
        <f>'总表-数据收集'!U8</f>
        <v>40</v>
      </c>
      <c r="D43" s="249">
        <f>目标数据!P8</f>
        <v>6</v>
      </c>
      <c r="E43" s="264">
        <f t="shared" si="6"/>
        <v>6.66666666666667</v>
      </c>
      <c r="F43" s="263">
        <f>C43-D43*E3</f>
        <v>35.3548387096774</v>
      </c>
      <c r="G43" s="263">
        <f t="shared" si="7"/>
        <v>34</v>
      </c>
      <c r="I43" s="82"/>
      <c r="J43" s="82"/>
      <c r="K43" s="47" t="s">
        <v>22</v>
      </c>
      <c r="L43">
        <f>'总表-数据收集'!AT7</f>
        <v>6</v>
      </c>
      <c r="M43">
        <f>'总表-数据收集'!BS7</f>
        <v>13</v>
      </c>
      <c r="N43">
        <f>'总表-数据收集'!CR7</f>
        <v>17</v>
      </c>
      <c r="O43">
        <f>'总表-数据收集'!DQ7</f>
        <v>16</v>
      </c>
    </row>
    <row r="44" s="77" customFormat="1" ht="15" customHeight="1" spans="1:15">
      <c r="A44" s="260" t="s">
        <v>61</v>
      </c>
      <c r="B44" s="262">
        <f>'总表-数据收集'!X8</f>
        <v>0.44</v>
      </c>
      <c r="C44" s="262"/>
      <c r="D44" s="262"/>
      <c r="E44" s="262"/>
      <c r="F44" s="262"/>
      <c r="G44" s="262"/>
      <c r="I44" s="82"/>
      <c r="J44" s="82"/>
      <c r="K44" s="49" t="s">
        <v>23</v>
      </c>
      <c r="L44">
        <f>'总表-数据收集'!AT8</f>
        <v>7</v>
      </c>
      <c r="M44">
        <f>'总表-数据收集'!BS8</f>
        <v>3</v>
      </c>
      <c r="N44">
        <f>'总表-数据收集'!CR8</f>
        <v>7</v>
      </c>
      <c r="O44">
        <f>'总表-数据收集'!DQ8</f>
        <v>3</v>
      </c>
    </row>
    <row r="45" s="77" customFormat="1" ht="22" customHeight="1" spans="1:15">
      <c r="A45" s="260" t="s">
        <v>62</v>
      </c>
      <c r="B45" s="253">
        <f>'总表-数据收集'!AC8</f>
        <v>133</v>
      </c>
      <c r="C45" s="253"/>
      <c r="D45" s="253"/>
      <c r="E45" s="253"/>
      <c r="F45" s="253"/>
      <c r="G45" s="253"/>
      <c r="H45" s="93"/>
      <c r="I45" s="82"/>
      <c r="J45" s="82"/>
      <c r="K45" s="50" t="s">
        <v>24</v>
      </c>
      <c r="L45">
        <f>'总表-数据收集'!AT9</f>
        <v>1</v>
      </c>
      <c r="M45">
        <f>'总表-数据收集'!BS9</f>
        <v>0</v>
      </c>
      <c r="N45">
        <f>'总表-数据收集'!CR9</f>
        <v>2</v>
      </c>
      <c r="O45">
        <f>'总表-数据收集'!DQ9</f>
        <v>2</v>
      </c>
    </row>
    <row r="46" s="77" customFormat="1" ht="22" customHeight="1" spans="1:15">
      <c r="A46" s="265"/>
      <c r="B46" s="265"/>
      <c r="C46" s="265"/>
      <c r="D46" s="265"/>
      <c r="E46" s="265"/>
      <c r="F46" s="265"/>
      <c r="G46" s="265"/>
      <c r="H46" s="86" t="s">
        <v>55</v>
      </c>
      <c r="I46" s="82"/>
      <c r="J46" s="82"/>
      <c r="K46" s="49" t="s">
        <v>25</v>
      </c>
      <c r="L46">
        <f>'总表-数据收集'!AT10</f>
        <v>11</v>
      </c>
      <c r="M46">
        <f>'总表-数据收集'!BS10</f>
        <v>5</v>
      </c>
      <c r="N46">
        <f>'总表-数据收集'!CR10</f>
        <v>9</v>
      </c>
      <c r="O46">
        <f>'总表-数据收集'!DQ10</f>
        <v>7</v>
      </c>
    </row>
    <row r="47" s="77" customFormat="1" ht="22" customHeight="1" spans="1:15">
      <c r="A47" s="266" t="str">
        <f>'总表-数据收集'!B9</f>
        <v>清远极氪</v>
      </c>
      <c r="B47" s="94"/>
      <c r="C47" s="94"/>
      <c r="D47" s="94"/>
      <c r="E47" s="94"/>
      <c r="F47" s="94"/>
      <c r="G47" s="94"/>
      <c r="I47" s="82">
        <v>9</v>
      </c>
      <c r="J47" s="82"/>
      <c r="K47" s="51" t="s">
        <v>26</v>
      </c>
      <c r="L47">
        <f>'总表-数据收集'!AT11</f>
        <v>15</v>
      </c>
      <c r="M47">
        <f>'总表-数据收集'!BS11</f>
        <v>7</v>
      </c>
      <c r="N47">
        <f>'总表-数据收集'!CR11</f>
        <v>10</v>
      </c>
      <c r="O47">
        <f>'总表-数据收集'!DQ11</f>
        <v>5</v>
      </c>
    </row>
    <row r="48" s="77" customFormat="1" ht="22" customHeight="1" spans="1:15">
      <c r="A48" s="267" t="s">
        <v>48</v>
      </c>
      <c r="B48" s="267" t="s">
        <v>49</v>
      </c>
      <c r="C48" s="267" t="s">
        <v>50</v>
      </c>
      <c r="D48" s="267" t="s">
        <v>51</v>
      </c>
      <c r="E48" s="267" t="s">
        <v>52</v>
      </c>
      <c r="F48" s="268" t="s">
        <v>53</v>
      </c>
      <c r="G48" s="268" t="s">
        <v>54</v>
      </c>
      <c r="I48" s="82"/>
      <c r="J48" s="82"/>
      <c r="K48" s="49" t="s">
        <v>27</v>
      </c>
      <c r="L48">
        <f>'总表-数据收集'!AT12</f>
        <v>0</v>
      </c>
      <c r="M48">
        <f>'总表-数据收集'!BS12</f>
        <v>0</v>
      </c>
      <c r="N48">
        <f>'总表-数据收集'!CR12</f>
        <v>16</v>
      </c>
      <c r="O48">
        <f>'总表-数据收集'!DQ12</f>
        <v>9</v>
      </c>
    </row>
    <row r="49" s="77" customFormat="1" ht="22" customHeight="1" spans="1:15">
      <c r="A49" s="256" t="s">
        <v>56</v>
      </c>
      <c r="B49" s="256" t="e">
        <f>#REF!</f>
        <v>#REF!</v>
      </c>
      <c r="C49" s="239">
        <f>'总表-数据收集'!F9</f>
        <v>520</v>
      </c>
      <c r="D49" s="256">
        <f>目标数据!F9</f>
        <v>90</v>
      </c>
      <c r="E49" s="269">
        <f>C49/D49</f>
        <v>5.77777777777778</v>
      </c>
      <c r="F49" s="270">
        <f>C49-D49*E3</f>
        <v>450.322580645161</v>
      </c>
      <c r="G49" s="270">
        <f>C49-D49</f>
        <v>430</v>
      </c>
      <c r="I49" s="82"/>
      <c r="J49" s="82"/>
      <c r="K49" s="52" t="s">
        <v>28</v>
      </c>
      <c r="L49">
        <f>'总表-数据收集'!AT13</f>
        <v>10</v>
      </c>
      <c r="M49">
        <f>'总表-数据收集'!BS13</f>
        <v>3</v>
      </c>
      <c r="N49">
        <f>'总表-数据收集'!CR13</f>
        <v>6</v>
      </c>
      <c r="O49">
        <f>'总表-数据收集'!DQ13</f>
        <v>2</v>
      </c>
    </row>
    <row r="50" s="77" customFormat="1" ht="22" customHeight="1" spans="1:15">
      <c r="A50" s="256" t="s">
        <v>57</v>
      </c>
      <c r="B50" s="256" t="e">
        <f>#REF!</f>
        <v>#REF!</v>
      </c>
      <c r="C50" s="239">
        <f>'总表-数据收集'!G9</f>
        <v>389</v>
      </c>
      <c r="D50" s="256">
        <f>目标数据!G9</f>
        <v>60</v>
      </c>
      <c r="E50" s="271">
        <f t="shared" ref="E50:E53" si="8">C50/D50</f>
        <v>6.48333333333333</v>
      </c>
      <c r="F50" s="270">
        <f>C50-D50*E3</f>
        <v>342.548387096774</v>
      </c>
      <c r="G50" s="270">
        <f t="shared" ref="G50:G53" si="9">C50-D50</f>
        <v>329</v>
      </c>
      <c r="I50" s="82"/>
      <c r="J50" s="82"/>
      <c r="K50" s="49" t="s">
        <v>29</v>
      </c>
      <c r="L50">
        <f>'总表-数据收集'!AT14</f>
        <v>19</v>
      </c>
      <c r="M50">
        <f>'总表-数据收集'!BS14</f>
        <v>5</v>
      </c>
      <c r="N50">
        <f>'总表-数据收集'!CR14</f>
        <v>21</v>
      </c>
      <c r="O50">
        <f>'总表-数据收集'!DQ14</f>
        <v>22</v>
      </c>
    </row>
    <row r="51" s="77" customFormat="1" ht="22" customHeight="1" spans="1:15">
      <c r="A51" s="256" t="s">
        <v>58</v>
      </c>
      <c r="B51" s="256" t="e">
        <f>#REF!</f>
        <v>#REF!</v>
      </c>
      <c r="C51" s="239">
        <f>'总表-数据收集'!H9</f>
        <v>2168</v>
      </c>
      <c r="D51" s="256">
        <f>目标数据!M9</f>
        <v>450</v>
      </c>
      <c r="E51" s="271">
        <f t="shared" si="8"/>
        <v>4.81777777777778</v>
      </c>
      <c r="F51" s="270">
        <f>C51-D51*E3</f>
        <v>1819.61290322581</v>
      </c>
      <c r="G51" s="270">
        <f t="shared" si="9"/>
        <v>1718</v>
      </c>
      <c r="I51" s="82"/>
      <c r="J51" s="82"/>
      <c r="K51" s="52" t="s">
        <v>30</v>
      </c>
      <c r="L51">
        <f>'总表-数据收集'!AT15</f>
        <v>12</v>
      </c>
      <c r="M51">
        <f>'总表-数据收集'!BS15</f>
        <v>11</v>
      </c>
      <c r="N51">
        <f>'总表-数据收集'!CR15</f>
        <v>24</v>
      </c>
      <c r="O51">
        <f>'总表-数据收集'!DQ15</f>
        <v>35</v>
      </c>
    </row>
    <row r="52" s="77" customFormat="1" ht="22" customHeight="1" spans="1:15">
      <c r="A52" s="256" t="s">
        <v>59</v>
      </c>
      <c r="B52" s="256" t="e">
        <f>#REF!</f>
        <v>#REF!</v>
      </c>
      <c r="C52" s="239">
        <f>'总表-数据收集'!R9</f>
        <v>129</v>
      </c>
      <c r="D52" s="256">
        <f>目标数据!O9</f>
        <v>40</v>
      </c>
      <c r="E52" s="271">
        <f t="shared" si="8"/>
        <v>3.225</v>
      </c>
      <c r="F52" s="270">
        <f>C52-D52*E3</f>
        <v>98.0322580645161</v>
      </c>
      <c r="G52" s="270">
        <f t="shared" si="9"/>
        <v>89</v>
      </c>
      <c r="I52" s="82"/>
      <c r="J52" s="82"/>
      <c r="K52" s="49" t="s">
        <v>31</v>
      </c>
      <c r="L52">
        <f>'总表-数据收集'!AT16</f>
        <v>11</v>
      </c>
      <c r="M52">
        <f>'总表-数据收集'!BS16</f>
        <v>4</v>
      </c>
      <c r="N52">
        <f>'总表-数据收集'!CR16</f>
        <v>13</v>
      </c>
      <c r="O52">
        <f>'总表-数据收集'!DQ16</f>
        <v>5</v>
      </c>
    </row>
    <row r="53" s="77" customFormat="1" ht="22" customHeight="1" spans="1:15">
      <c r="A53" s="256" t="s">
        <v>60</v>
      </c>
      <c r="B53" s="256" t="e">
        <f>#REF!</f>
        <v>#REF!</v>
      </c>
      <c r="C53" s="239">
        <f>'总表-数据收集'!U9</f>
        <v>16</v>
      </c>
      <c r="D53" s="256">
        <f>目标数据!P9</f>
        <v>5</v>
      </c>
      <c r="E53" s="269">
        <f t="shared" si="8"/>
        <v>3.2</v>
      </c>
      <c r="F53" s="270">
        <f>C53-D53*E3</f>
        <v>12.1290322580645</v>
      </c>
      <c r="G53" s="270">
        <f t="shared" si="9"/>
        <v>11</v>
      </c>
      <c r="I53" s="82"/>
      <c r="J53" s="82"/>
      <c r="K53" s="52" t="s">
        <v>32</v>
      </c>
      <c r="L53">
        <f>'总表-数据收集'!AT17</f>
        <v>4</v>
      </c>
      <c r="M53">
        <f>'总表-数据收集'!BS17</f>
        <v>2</v>
      </c>
      <c r="N53">
        <f>'总表-数据收集'!CR17</f>
        <v>4</v>
      </c>
      <c r="O53">
        <f>'总表-数据收集'!DQ17</f>
        <v>11</v>
      </c>
    </row>
    <row r="54" s="77" customFormat="1" ht="18" spans="1:15">
      <c r="A54" s="256" t="s">
        <v>61</v>
      </c>
      <c r="B54" s="262">
        <f>'总表-数据收集'!X9</f>
        <v>0.2</v>
      </c>
      <c r="C54" s="262"/>
      <c r="D54" s="262"/>
      <c r="E54" s="262"/>
      <c r="F54" s="262"/>
      <c r="G54" s="262"/>
      <c r="I54" s="82"/>
      <c r="J54" s="82"/>
      <c r="K54" s="49" t="s">
        <v>33</v>
      </c>
      <c r="L54">
        <f>'总表-数据收集'!AT18</f>
        <v>6</v>
      </c>
      <c r="M54">
        <f>'总表-数据收集'!BS18</f>
        <v>3</v>
      </c>
      <c r="N54">
        <f>'总表-数据收集'!CR18</f>
        <v>5</v>
      </c>
      <c r="O54">
        <f>'总表-数据收集'!DQ18</f>
        <v>3</v>
      </c>
    </row>
    <row r="55" s="77" customFormat="1" ht="22" customHeight="1" spans="1:15">
      <c r="A55" s="256" t="s">
        <v>62</v>
      </c>
      <c r="B55" s="272">
        <f>'总表-数据收集'!AC9</f>
        <v>0</v>
      </c>
      <c r="C55" s="273"/>
      <c r="D55" s="273"/>
      <c r="E55" s="273"/>
      <c r="F55" s="273"/>
      <c r="G55" s="273"/>
      <c r="H55" s="94"/>
      <c r="I55" s="82"/>
      <c r="J55" s="82"/>
      <c r="K55" s="52" t="s">
        <v>34</v>
      </c>
      <c r="L55">
        <f>'总表-数据收集'!AT19</f>
        <v>0</v>
      </c>
      <c r="M55">
        <f>'总表-数据收集'!BS19</f>
        <v>0</v>
      </c>
      <c r="N55">
        <f>'总表-数据收集'!CR19</f>
        <v>0</v>
      </c>
      <c r="O55">
        <f>'总表-数据收集'!DQ19</f>
        <v>0</v>
      </c>
    </row>
    <row r="56" s="77" customFormat="1" ht="22" customHeight="1" spans="1:15">
      <c r="A56" s="274"/>
      <c r="B56" s="274"/>
      <c r="C56" s="274"/>
      <c r="D56" s="274"/>
      <c r="E56" s="274"/>
      <c r="F56" s="274"/>
      <c r="G56" s="274"/>
      <c r="H56" s="86" t="s">
        <v>55</v>
      </c>
      <c r="I56" s="82"/>
      <c r="J56" s="82"/>
      <c r="K56" s="49" t="s">
        <v>35</v>
      </c>
      <c r="L56">
        <f>'总表-数据收集'!AT20</f>
        <v>0</v>
      </c>
      <c r="M56">
        <f>'总表-数据收集'!BS20</f>
        <v>2</v>
      </c>
      <c r="N56">
        <f>'总表-数据收集'!CR20</f>
        <v>2</v>
      </c>
      <c r="O56">
        <f>'总表-数据收集'!DQ20</f>
        <v>13</v>
      </c>
    </row>
    <row r="57" s="77" customFormat="1" ht="22" customHeight="1" spans="1:15">
      <c r="A57" s="275" t="str">
        <f>'总表-数据收集'!B10</f>
        <v>清远广本</v>
      </c>
      <c r="B57" s="88"/>
      <c r="C57" s="88"/>
      <c r="D57" s="88"/>
      <c r="E57" s="88"/>
      <c r="F57" s="88"/>
      <c r="G57" s="88"/>
      <c r="I57" s="82">
        <v>10</v>
      </c>
      <c r="J57" s="82"/>
      <c r="K57" s="85" t="s">
        <v>36</v>
      </c>
      <c r="L57">
        <f>'总表-数据收集'!AT21</f>
        <v>1</v>
      </c>
      <c r="M57">
        <f>'总表-数据收集'!BS21</f>
        <v>0</v>
      </c>
      <c r="N57">
        <f>'总表-数据收集'!CR21</f>
        <v>4</v>
      </c>
      <c r="O57">
        <f>'总表-数据收集'!DQ21</f>
        <v>7</v>
      </c>
    </row>
    <row r="58" s="77" customFormat="1" ht="22" customHeight="1" spans="1:15">
      <c r="A58" s="276" t="s">
        <v>48</v>
      </c>
      <c r="B58" s="276" t="s">
        <v>49</v>
      </c>
      <c r="C58" s="276" t="s">
        <v>50</v>
      </c>
      <c r="D58" s="276" t="s">
        <v>51</v>
      </c>
      <c r="E58" s="276" t="s">
        <v>52</v>
      </c>
      <c r="F58" s="277" t="s">
        <v>53</v>
      </c>
      <c r="G58" s="277" t="s">
        <v>54</v>
      </c>
      <c r="I58" s="82"/>
      <c r="J58" s="82"/>
      <c r="K58" s="82"/>
      <c r="L58" s="82"/>
    </row>
    <row r="59" s="77" customFormat="1" ht="22" customHeight="1" spans="1:15">
      <c r="A59" s="248" t="s">
        <v>56</v>
      </c>
      <c r="B59" s="248" t="e">
        <f>#REF!</f>
        <v>#REF!</v>
      </c>
      <c r="C59" s="239">
        <f>'总表-数据收集'!F10</f>
        <v>448</v>
      </c>
      <c r="D59" s="248">
        <f>目标数据!F10</f>
        <v>70</v>
      </c>
      <c r="E59" s="250">
        <f>C59/D59</f>
        <v>6.4</v>
      </c>
      <c r="F59" s="90">
        <f>C59-D59*E3</f>
        <v>393.806451612903</v>
      </c>
      <c r="G59" s="90">
        <f>C59-D59</f>
        <v>378</v>
      </c>
      <c r="I59" s="82"/>
      <c r="J59" s="82"/>
      <c r="K59" s="82"/>
      <c r="L59" s="82"/>
    </row>
    <row r="60" s="77" customFormat="1" ht="22" customHeight="1" spans="1:15">
      <c r="A60" s="248" t="s">
        <v>57</v>
      </c>
      <c r="B60" s="248" t="e">
        <f>#REF!</f>
        <v>#REF!</v>
      </c>
      <c r="C60" s="239">
        <f>'总表-数据收集'!G10</f>
        <v>452</v>
      </c>
      <c r="D60" s="248">
        <f>目标数据!G10</f>
        <v>70</v>
      </c>
      <c r="E60" s="250">
        <f t="shared" ref="E60:E63" si="10">C60/D60</f>
        <v>6.45714285714286</v>
      </c>
      <c r="F60" s="90">
        <f>C60-D60*E3</f>
        <v>397.806451612903</v>
      </c>
      <c r="G60" s="90">
        <f t="shared" ref="G60:G63" si="11">C60-D60</f>
        <v>382</v>
      </c>
      <c r="I60" s="82"/>
      <c r="J60" s="82"/>
      <c r="K60" s="82"/>
      <c r="L60" s="82"/>
    </row>
    <row r="61" s="77" customFormat="1" ht="22" customHeight="1" spans="1:15">
      <c r="A61" s="248" t="s">
        <v>58</v>
      </c>
      <c r="B61" s="248" t="e">
        <f>#REF!</f>
        <v>#REF!</v>
      </c>
      <c r="C61" s="239">
        <f>'总表-数据收集'!H10</f>
        <v>4068</v>
      </c>
      <c r="D61" s="248">
        <f>目标数据!M10</f>
        <v>350</v>
      </c>
      <c r="E61" s="250">
        <f t="shared" si="10"/>
        <v>11.6228571428571</v>
      </c>
      <c r="F61" s="90">
        <f>C61-D61*E3</f>
        <v>3797.03225806452</v>
      </c>
      <c r="G61" s="90">
        <f t="shared" si="11"/>
        <v>3718</v>
      </c>
      <c r="I61" s="82"/>
      <c r="J61" s="82"/>
      <c r="K61" s="82"/>
      <c r="L61" s="82"/>
    </row>
    <row r="62" s="77" customFormat="1" ht="22" customHeight="1" spans="1:15">
      <c r="A62" s="248" t="s">
        <v>59</v>
      </c>
      <c r="B62" s="248" t="e">
        <f>#REF!</f>
        <v>#REF!</v>
      </c>
      <c r="C62" s="239">
        <f>'总表-数据收集'!R10</f>
        <v>249</v>
      </c>
      <c r="D62" s="248">
        <f>目标数据!O10</f>
        <v>30</v>
      </c>
      <c r="E62" s="250">
        <f t="shared" si="10"/>
        <v>8.3</v>
      </c>
      <c r="F62" s="90">
        <f>C62-D62*E3</f>
        <v>225.774193548387</v>
      </c>
      <c r="G62" s="90">
        <f t="shared" si="11"/>
        <v>219</v>
      </c>
      <c r="I62" s="82"/>
      <c r="J62" s="82"/>
      <c r="K62" s="82"/>
      <c r="L62" s="82"/>
    </row>
    <row r="63" s="77" customFormat="1" ht="18" customHeight="1" spans="1:15">
      <c r="A63" s="248" t="s">
        <v>60</v>
      </c>
      <c r="B63" s="248" t="e">
        <f>#REF!</f>
        <v>#REF!</v>
      </c>
      <c r="C63" s="239">
        <f>'总表-数据收集'!U10</f>
        <v>59</v>
      </c>
      <c r="D63" s="248">
        <f>目标数据!P10</f>
        <v>8</v>
      </c>
      <c r="E63" s="250">
        <f t="shared" si="10"/>
        <v>7.375</v>
      </c>
      <c r="F63" s="90">
        <f>C63-D63*E3</f>
        <v>52.8064516129032</v>
      </c>
      <c r="G63" s="90">
        <f t="shared" si="11"/>
        <v>51</v>
      </c>
      <c r="I63" s="82"/>
      <c r="J63" s="82"/>
      <c r="K63" s="82"/>
      <c r="L63" s="82"/>
    </row>
    <row r="64" s="77" customFormat="1" ht="20" customHeight="1" spans="1:15">
      <c r="A64" s="248" t="s">
        <v>61</v>
      </c>
      <c r="B64" s="250">
        <f>'总表-数据收集'!X10</f>
        <v>0</v>
      </c>
      <c r="C64" s="250"/>
      <c r="D64" s="250"/>
      <c r="E64" s="250"/>
      <c r="F64" s="250"/>
      <c r="G64" s="250"/>
      <c r="I64" s="82"/>
      <c r="J64" s="82"/>
      <c r="K64" s="82"/>
      <c r="L64" s="82"/>
    </row>
    <row r="65" s="77" customFormat="1" spans="1:12">
      <c r="A65" s="248" t="s">
        <v>62</v>
      </c>
      <c r="B65" s="253">
        <f>'总表-数据收集'!AC10</f>
        <v>99</v>
      </c>
      <c r="C65" s="253"/>
      <c r="D65" s="253"/>
      <c r="E65" s="253"/>
      <c r="F65" s="253"/>
      <c r="G65" s="253"/>
      <c r="H65" s="95"/>
      <c r="I65" s="82"/>
      <c r="J65" s="82"/>
      <c r="K65" s="82"/>
      <c r="L65" s="82"/>
    </row>
    <row r="66" s="77" customFormat="1" ht="22" customHeight="1" spans="1:12">
      <c r="A66" s="82"/>
      <c r="B66" s="82"/>
      <c r="C66" s="82"/>
      <c r="D66" s="82"/>
      <c r="E66" s="82"/>
      <c r="F66" s="82"/>
      <c r="G66" s="82"/>
      <c r="H66" s="86" t="s">
        <v>55</v>
      </c>
      <c r="I66" s="82"/>
      <c r="J66" s="82"/>
      <c r="K66" s="82"/>
      <c r="L66" s="82"/>
    </row>
    <row r="67" s="77" customFormat="1" ht="22" customHeight="1" spans="1:12">
      <c r="A67" s="92" t="str">
        <f>'总表-数据收集'!B11</f>
        <v>鑫海广本</v>
      </c>
      <c r="B67" s="92"/>
      <c r="C67" s="92"/>
      <c r="D67" s="92"/>
      <c r="E67" s="92"/>
      <c r="F67" s="92"/>
      <c r="G67" s="92"/>
      <c r="I67" s="82">
        <v>11</v>
      </c>
      <c r="J67" s="82"/>
      <c r="K67" s="82"/>
      <c r="L67" s="82"/>
    </row>
    <row r="68" s="77" customFormat="1" ht="22" customHeight="1" spans="1:12">
      <c r="A68" s="278" t="s">
        <v>48</v>
      </c>
      <c r="B68" s="279" t="s">
        <v>49</v>
      </c>
      <c r="C68" s="279" t="s">
        <v>50</v>
      </c>
      <c r="D68" s="279" t="s">
        <v>51</v>
      </c>
      <c r="E68" s="279" t="s">
        <v>52</v>
      </c>
      <c r="F68" s="280" t="s">
        <v>53</v>
      </c>
      <c r="G68" s="280" t="s">
        <v>54</v>
      </c>
      <c r="I68" s="82"/>
      <c r="J68" s="82"/>
      <c r="K68" s="82"/>
      <c r="L68" s="82"/>
    </row>
    <row r="69" s="77" customFormat="1" ht="22" customHeight="1" spans="1:12">
      <c r="A69" s="255" t="s">
        <v>56</v>
      </c>
      <c r="B69" s="255" t="e">
        <f>#REF!</f>
        <v>#REF!</v>
      </c>
      <c r="C69" s="239">
        <f>'总表-数据收集'!F11</f>
        <v>400</v>
      </c>
      <c r="D69" s="255">
        <f>目标数据!F11</f>
        <v>80</v>
      </c>
      <c r="E69" s="259">
        <f>C69/D69</f>
        <v>5</v>
      </c>
      <c r="F69" s="258">
        <f>C69-D69*E3</f>
        <v>338.064516129032</v>
      </c>
      <c r="G69" s="258">
        <f>C69-D69</f>
        <v>320</v>
      </c>
      <c r="I69" s="82"/>
      <c r="J69" s="82"/>
      <c r="K69" s="82"/>
      <c r="L69" s="82"/>
    </row>
    <row r="70" s="77" customFormat="1" ht="22" customHeight="1" spans="1:12">
      <c r="A70" s="255" t="s">
        <v>57</v>
      </c>
      <c r="B70" s="255" t="e">
        <f>#REF!</f>
        <v>#REF!</v>
      </c>
      <c r="C70" s="239">
        <f>'总表-数据收集'!G11</f>
        <v>306</v>
      </c>
      <c r="D70" s="255">
        <f>目标数据!G11</f>
        <v>60</v>
      </c>
      <c r="E70" s="259">
        <f t="shared" ref="E70:E73" si="12">C70/D70</f>
        <v>5.1</v>
      </c>
      <c r="F70" s="258">
        <f>C70-D70*E3</f>
        <v>259.548387096774</v>
      </c>
      <c r="G70" s="258">
        <f t="shared" ref="G70:G73" si="13">C70-D70</f>
        <v>246</v>
      </c>
      <c r="I70" s="82"/>
      <c r="J70" s="82"/>
      <c r="K70" s="82"/>
      <c r="L70" s="82"/>
    </row>
    <row r="71" s="77" customFormat="1" ht="22" customHeight="1" spans="1:12">
      <c r="A71" s="255" t="s">
        <v>58</v>
      </c>
      <c r="B71" s="255" t="e">
        <f>#REF!</f>
        <v>#REF!</v>
      </c>
      <c r="C71" s="239">
        <f>'总表-数据收集'!H11</f>
        <v>2170</v>
      </c>
      <c r="D71" s="255">
        <f>目标数据!M11</f>
        <v>510</v>
      </c>
      <c r="E71" s="259">
        <f t="shared" si="12"/>
        <v>4.25490196078431</v>
      </c>
      <c r="F71" s="258">
        <f>C71-D71*E3</f>
        <v>1775.16129032258</v>
      </c>
      <c r="G71" s="258">
        <f t="shared" si="13"/>
        <v>1660</v>
      </c>
      <c r="I71" s="82"/>
      <c r="J71" s="82"/>
      <c r="K71" s="82"/>
      <c r="L71" s="82"/>
    </row>
    <row r="72" s="77" customFormat="1" ht="22" customHeight="1" spans="1:12">
      <c r="A72" s="255" t="s">
        <v>59</v>
      </c>
      <c r="B72" s="255" t="e">
        <f>#REF!</f>
        <v>#REF!</v>
      </c>
      <c r="C72" s="239">
        <f>'总表-数据收集'!R11</f>
        <v>281</v>
      </c>
      <c r="D72" s="255">
        <f>目标数据!O11</f>
        <v>45</v>
      </c>
      <c r="E72" s="257">
        <f t="shared" si="12"/>
        <v>6.24444444444444</v>
      </c>
      <c r="F72" s="258">
        <f>C72-D72*E3</f>
        <v>246.161290322581</v>
      </c>
      <c r="G72" s="258">
        <f t="shared" si="13"/>
        <v>236</v>
      </c>
      <c r="I72" s="82"/>
      <c r="J72" s="82"/>
      <c r="K72" s="82"/>
      <c r="L72" s="82"/>
    </row>
    <row r="73" s="77" customFormat="1" ht="22" customHeight="1" spans="1:12">
      <c r="A73" s="255" t="s">
        <v>60</v>
      </c>
      <c r="B73" s="255" t="e">
        <f>#REF!</f>
        <v>#REF!</v>
      </c>
      <c r="C73" s="239">
        <f>'总表-数据收集'!U11</f>
        <v>54</v>
      </c>
      <c r="D73" s="255">
        <f>目标数据!P11</f>
        <v>15</v>
      </c>
      <c r="E73" s="259">
        <f t="shared" si="12"/>
        <v>3.6</v>
      </c>
      <c r="F73" s="258">
        <f>C73-D73*E3</f>
        <v>42.3870967741935</v>
      </c>
      <c r="G73" s="258">
        <f t="shared" si="13"/>
        <v>39</v>
      </c>
      <c r="I73" s="82"/>
      <c r="J73" s="82"/>
      <c r="K73" s="82"/>
      <c r="L73" s="82"/>
    </row>
    <row r="74" s="77" customFormat="1" ht="20" customHeight="1" spans="1:12">
      <c r="A74" s="255" t="s">
        <v>61</v>
      </c>
      <c r="B74" s="281">
        <f>'总表-数据收集'!X11</f>
        <v>0.2</v>
      </c>
      <c r="C74" s="281"/>
      <c r="D74" s="281"/>
      <c r="E74" s="281"/>
      <c r="F74" s="281"/>
      <c r="G74" s="281"/>
      <c r="I74" s="82"/>
      <c r="J74" s="82"/>
      <c r="K74" s="82"/>
      <c r="L74" s="82"/>
    </row>
    <row r="75" s="77" customFormat="1" ht="22" customHeight="1" spans="1:12">
      <c r="A75" s="255" t="s">
        <v>62</v>
      </c>
      <c r="B75" s="282">
        <f>'总表-数据收集'!AC11</f>
        <v>200</v>
      </c>
      <c r="C75" s="282"/>
      <c r="D75" s="282"/>
      <c r="E75" s="282"/>
      <c r="F75" s="282"/>
      <c r="G75" s="282"/>
      <c r="H75" s="92"/>
      <c r="I75" s="82"/>
      <c r="J75" s="82"/>
      <c r="K75" s="82"/>
      <c r="L75" s="82"/>
    </row>
    <row r="76" s="77" customFormat="1" ht="22" customHeight="1" spans="1:12">
      <c r="A76" s="82"/>
      <c r="B76" s="82"/>
      <c r="C76" s="82"/>
      <c r="D76" s="82"/>
      <c r="E76" s="82"/>
      <c r="F76" s="82"/>
      <c r="G76" s="82"/>
      <c r="H76" s="86" t="s">
        <v>55</v>
      </c>
      <c r="I76" s="82"/>
      <c r="J76" s="82"/>
      <c r="K76" s="82"/>
      <c r="L76" s="82"/>
    </row>
    <row r="77" s="77" customFormat="1" ht="22" customHeight="1" spans="1:12">
      <c r="A77" s="93" t="str">
        <f>'总表-数据收集'!B12</f>
        <v>汕头广本</v>
      </c>
      <c r="B77" s="93"/>
      <c r="C77" s="93"/>
      <c r="D77" s="93"/>
      <c r="E77" s="93"/>
      <c r="F77" s="93"/>
      <c r="G77" s="93"/>
      <c r="I77" s="82">
        <v>12</v>
      </c>
      <c r="J77" s="82"/>
      <c r="K77" s="82"/>
      <c r="L77" s="82"/>
    </row>
    <row r="78" s="77" customFormat="1" ht="22" customHeight="1" spans="1:12">
      <c r="A78" s="247" t="s">
        <v>48</v>
      </c>
      <c r="B78" s="247" t="s">
        <v>49</v>
      </c>
      <c r="C78" s="247" t="s">
        <v>50</v>
      </c>
      <c r="D78" s="247" t="s">
        <v>51</v>
      </c>
      <c r="E78" s="247" t="s">
        <v>52</v>
      </c>
      <c r="F78" s="254" t="s">
        <v>53</v>
      </c>
      <c r="G78" s="254" t="s">
        <v>54</v>
      </c>
      <c r="I78" s="82"/>
      <c r="J78" s="82"/>
      <c r="K78" s="82"/>
      <c r="L78" s="82"/>
    </row>
    <row r="79" s="77" customFormat="1" ht="22" customHeight="1" spans="1:12">
      <c r="A79" s="260" t="s">
        <v>56</v>
      </c>
      <c r="B79" s="260" t="e">
        <f>#REF!</f>
        <v>#REF!</v>
      </c>
      <c r="C79" s="239">
        <f>'总表-数据收集'!F12</f>
        <v>239</v>
      </c>
      <c r="D79" s="260">
        <f>目标数据!F12</f>
        <v>50</v>
      </c>
      <c r="E79" s="264">
        <f>C79/D79</f>
        <v>4.78</v>
      </c>
      <c r="F79" s="263">
        <f>C79-D79*E3</f>
        <v>200.290322580645</v>
      </c>
      <c r="G79" s="263">
        <f>C79-D79</f>
        <v>189</v>
      </c>
      <c r="I79" s="82"/>
      <c r="J79" s="82"/>
      <c r="K79" s="82"/>
      <c r="L79" s="82"/>
    </row>
    <row r="80" s="77" customFormat="1" ht="22" customHeight="1" spans="1:12">
      <c r="A80" s="260" t="s">
        <v>57</v>
      </c>
      <c r="B80" s="260" t="e">
        <f>#REF!</f>
        <v>#REF!</v>
      </c>
      <c r="C80" s="239">
        <f>'总表-数据收集'!G12</f>
        <v>302</v>
      </c>
      <c r="D80" s="260">
        <f>目标数据!G12</f>
        <v>80</v>
      </c>
      <c r="E80" s="264">
        <f t="shared" ref="E80:E83" si="14">C80/D80</f>
        <v>3.775</v>
      </c>
      <c r="F80" s="263">
        <f>C80-D80*E3</f>
        <v>240.064516129032</v>
      </c>
      <c r="G80" s="263">
        <f t="shared" ref="G80:G83" si="15">C80-D80</f>
        <v>222</v>
      </c>
      <c r="I80" s="82"/>
      <c r="J80" s="82"/>
      <c r="K80" s="82"/>
      <c r="L80" s="82"/>
    </row>
    <row r="81" s="77" customFormat="1" ht="22" customHeight="1" spans="1:12">
      <c r="A81" s="260" t="s">
        <v>58</v>
      </c>
      <c r="B81" s="260" t="e">
        <f>#REF!</f>
        <v>#REF!</v>
      </c>
      <c r="C81" s="239">
        <f>'总表-数据收集'!H12</f>
        <v>2377</v>
      </c>
      <c r="D81" s="260">
        <f>目标数据!M12</f>
        <v>700</v>
      </c>
      <c r="E81" s="264">
        <f t="shared" si="14"/>
        <v>3.39571428571429</v>
      </c>
      <c r="F81" s="263">
        <f>C81-D81*E3</f>
        <v>1835.06451612903</v>
      </c>
      <c r="G81" s="263">
        <f t="shared" si="15"/>
        <v>1677</v>
      </c>
      <c r="I81" s="82"/>
      <c r="J81" s="82"/>
      <c r="K81" s="82"/>
      <c r="L81" s="82"/>
    </row>
    <row r="82" s="77" customFormat="1" ht="22" customHeight="1" spans="1:12">
      <c r="A82" s="260" t="s">
        <v>59</v>
      </c>
      <c r="B82" s="260" t="e">
        <f>#REF!</f>
        <v>#REF!</v>
      </c>
      <c r="C82" s="239">
        <f>'总表-数据收集'!R12</f>
        <v>140</v>
      </c>
      <c r="D82" s="260">
        <f>目标数据!O12</f>
        <v>40</v>
      </c>
      <c r="E82" s="264">
        <f t="shared" si="14"/>
        <v>3.5</v>
      </c>
      <c r="F82" s="263">
        <f>C82-D82*E3</f>
        <v>109.032258064516</v>
      </c>
      <c r="G82" s="263">
        <f t="shared" si="15"/>
        <v>100</v>
      </c>
      <c r="I82" s="82"/>
      <c r="J82" s="82"/>
      <c r="K82" s="82"/>
      <c r="L82" s="82"/>
    </row>
    <row r="83" s="77" customFormat="1" ht="22" customHeight="1" spans="1:12">
      <c r="A83" s="260" t="s">
        <v>60</v>
      </c>
      <c r="B83" s="260" t="e">
        <f>#REF!</f>
        <v>#REF!</v>
      </c>
      <c r="C83" s="239">
        <f>'总表-数据收集'!U12</f>
        <v>47</v>
      </c>
      <c r="D83" s="260">
        <f>目标数据!P12</f>
        <v>20</v>
      </c>
      <c r="E83" s="264">
        <f t="shared" si="14"/>
        <v>2.35</v>
      </c>
      <c r="F83" s="263">
        <f>C83-D83*E3</f>
        <v>31.5161290322581</v>
      </c>
      <c r="G83" s="263">
        <f t="shared" si="15"/>
        <v>27</v>
      </c>
      <c r="I83" s="82"/>
      <c r="J83" s="82"/>
      <c r="K83" s="82"/>
      <c r="L83" s="82"/>
    </row>
    <row r="84" s="77" customFormat="1" ht="21" customHeight="1" spans="1:12">
      <c r="A84" s="260" t="s">
        <v>61</v>
      </c>
      <c r="B84" s="283">
        <f>'总表-数据收集'!X12</f>
        <v>0.33</v>
      </c>
      <c r="C84" s="283"/>
      <c r="D84" s="283"/>
      <c r="E84" s="283"/>
      <c r="F84" s="283"/>
      <c r="G84" s="283"/>
      <c r="I84" s="82"/>
      <c r="J84" s="82"/>
      <c r="K84" s="82"/>
      <c r="L84" s="82"/>
    </row>
    <row r="85" s="77" customFormat="1" ht="22" customHeight="1" spans="1:12">
      <c r="A85" s="260" t="s">
        <v>62</v>
      </c>
      <c r="B85" s="284">
        <f>'总表-数据收集'!AC12</f>
        <v>0</v>
      </c>
      <c r="C85" s="284"/>
      <c r="D85" s="284"/>
      <c r="E85" s="284"/>
      <c r="F85" s="284"/>
      <c r="G85" s="284"/>
      <c r="H85" s="93"/>
      <c r="I85" s="82"/>
      <c r="J85" s="82"/>
      <c r="K85" s="82"/>
      <c r="L85" s="82"/>
    </row>
    <row r="86" s="77" customFormat="1" ht="22" customHeight="1" spans="1:12">
      <c r="A86" s="82"/>
      <c r="B86" s="82"/>
      <c r="C86" s="82"/>
      <c r="D86" s="82"/>
      <c r="E86" s="82"/>
      <c r="F86" s="82"/>
      <c r="G86" s="82"/>
      <c r="H86" s="86" t="s">
        <v>55</v>
      </c>
      <c r="I86" s="82"/>
      <c r="J86" s="82"/>
      <c r="K86" s="82"/>
      <c r="L86" s="82"/>
    </row>
    <row r="87" s="77" customFormat="1" ht="22" customHeight="1" spans="1:12">
      <c r="A87" s="96" t="str">
        <f>'总表-数据收集'!B13</f>
        <v>江门大众</v>
      </c>
      <c r="B87" s="96"/>
      <c r="C87" s="96"/>
      <c r="D87" s="96"/>
      <c r="E87" s="96"/>
      <c r="F87" s="96"/>
      <c r="G87" s="96"/>
      <c r="I87" s="82">
        <v>13</v>
      </c>
      <c r="J87" s="82"/>
      <c r="K87" s="82"/>
      <c r="L87" s="82"/>
    </row>
    <row r="88" s="77" customFormat="1" ht="22" customHeight="1" spans="1:12">
      <c r="A88" s="247" t="s">
        <v>48</v>
      </c>
      <c r="B88" s="247" t="s">
        <v>49</v>
      </c>
      <c r="C88" s="247" t="s">
        <v>50</v>
      </c>
      <c r="D88" s="247" t="s">
        <v>51</v>
      </c>
      <c r="E88" s="247" t="s">
        <v>52</v>
      </c>
      <c r="F88" s="254" t="s">
        <v>53</v>
      </c>
      <c r="G88" s="254" t="s">
        <v>54</v>
      </c>
      <c r="I88" s="82"/>
      <c r="J88" s="82"/>
      <c r="K88" s="82"/>
      <c r="L88" s="82"/>
    </row>
    <row r="89" s="77" customFormat="1" ht="22" customHeight="1" spans="1:12">
      <c r="A89" s="256" t="s">
        <v>56</v>
      </c>
      <c r="B89" s="256" t="e">
        <f>#REF!</f>
        <v>#REF!</v>
      </c>
      <c r="C89" s="239">
        <f>'总表-数据收集'!F13</f>
        <v>159</v>
      </c>
      <c r="D89" s="256">
        <f>目标数据!F13</f>
        <v>60</v>
      </c>
      <c r="E89" s="271">
        <f>C89/D89</f>
        <v>2.65</v>
      </c>
      <c r="F89" s="270">
        <f>C89-D89*E3</f>
        <v>112.548387096774</v>
      </c>
      <c r="G89" s="270">
        <f>C89-D89</f>
        <v>99</v>
      </c>
      <c r="I89" s="82"/>
      <c r="J89" s="82"/>
      <c r="K89" s="82"/>
      <c r="L89" s="82"/>
    </row>
    <row r="90" s="77" customFormat="1" ht="22" customHeight="1" spans="1:12">
      <c r="A90" s="256" t="s">
        <v>57</v>
      </c>
      <c r="B90" s="256" t="e">
        <f>#REF!</f>
        <v>#REF!</v>
      </c>
      <c r="C90" s="239">
        <f>'总表-数据收集'!G13</f>
        <v>433</v>
      </c>
      <c r="D90" s="256">
        <f>目标数据!G13</f>
        <v>60</v>
      </c>
      <c r="E90" s="271">
        <f t="shared" ref="E90:E93" si="16">C90/D90</f>
        <v>7.21666666666667</v>
      </c>
      <c r="F90" s="270">
        <f>C90-D90*E3</f>
        <v>386.548387096774</v>
      </c>
      <c r="G90" s="270">
        <f t="shared" ref="G90:G93" si="17">C90-D90</f>
        <v>373</v>
      </c>
      <c r="I90" s="82"/>
      <c r="J90" s="82"/>
      <c r="K90" s="82"/>
      <c r="L90" s="82"/>
    </row>
    <row r="91" s="77" customFormat="1" ht="22" customHeight="1" spans="1:12">
      <c r="A91" s="256" t="s">
        <v>58</v>
      </c>
      <c r="B91" s="256" t="e">
        <f>#REF!</f>
        <v>#REF!</v>
      </c>
      <c r="C91" s="239">
        <f>'总表-数据收集'!H13</f>
        <v>1987</v>
      </c>
      <c r="D91" s="256">
        <f>目标数据!M13</f>
        <v>540</v>
      </c>
      <c r="E91" s="271">
        <f t="shared" si="16"/>
        <v>3.67962962962963</v>
      </c>
      <c r="F91" s="270">
        <f>C91-D91*E3</f>
        <v>1568.93548387097</v>
      </c>
      <c r="G91" s="270">
        <f t="shared" si="17"/>
        <v>1447</v>
      </c>
      <c r="I91" s="82"/>
      <c r="J91" s="82"/>
      <c r="K91" s="82"/>
      <c r="L91" s="82"/>
    </row>
    <row r="92" s="77" customFormat="1" ht="22" customHeight="1" spans="1:12">
      <c r="A92" s="256" t="s">
        <v>59</v>
      </c>
      <c r="B92" s="256" t="e">
        <f>#REF!</f>
        <v>#REF!</v>
      </c>
      <c r="C92" s="239">
        <f>'总表-数据收集'!R13</f>
        <v>85</v>
      </c>
      <c r="D92" s="256">
        <f>目标数据!O13</f>
        <v>20</v>
      </c>
      <c r="E92" s="271">
        <f t="shared" si="16"/>
        <v>4.25</v>
      </c>
      <c r="F92" s="270">
        <f>C92-D92*E3</f>
        <v>69.5161290322581</v>
      </c>
      <c r="G92" s="270">
        <f t="shared" si="17"/>
        <v>65</v>
      </c>
      <c r="I92" s="82"/>
      <c r="J92" s="82"/>
      <c r="K92" s="82"/>
      <c r="L92" s="82"/>
    </row>
    <row r="93" s="77" customFormat="1" ht="22" customHeight="1" spans="1:12">
      <c r="A93" s="256" t="s">
        <v>60</v>
      </c>
      <c r="B93" s="256" t="e">
        <f>#REF!</f>
        <v>#REF!</v>
      </c>
      <c r="C93" s="239">
        <f>'总表-数据收集'!U13</f>
        <v>32</v>
      </c>
      <c r="D93" s="256">
        <f>目标数据!P13</f>
        <v>10</v>
      </c>
      <c r="E93" s="271">
        <f t="shared" si="16"/>
        <v>3.2</v>
      </c>
      <c r="F93" s="270">
        <f>C93-D93*E3</f>
        <v>24.258064516129</v>
      </c>
      <c r="G93" s="270">
        <f t="shared" si="17"/>
        <v>22</v>
      </c>
      <c r="I93" s="82"/>
      <c r="J93" s="82"/>
      <c r="K93" s="82"/>
      <c r="L93" s="82"/>
    </row>
    <row r="94" s="77" customFormat="1" ht="19" customHeight="1" spans="1:12">
      <c r="A94" s="256" t="s">
        <v>61</v>
      </c>
      <c r="B94" s="269">
        <f>'总表-数据收集'!X13</f>
        <v>0.25</v>
      </c>
      <c r="C94" s="269"/>
      <c r="D94" s="269"/>
      <c r="E94" s="269"/>
      <c r="F94" s="269"/>
      <c r="G94" s="269"/>
      <c r="I94" s="82"/>
      <c r="J94" s="82"/>
      <c r="K94" s="82"/>
      <c r="L94" s="82"/>
    </row>
    <row r="95" s="77" customFormat="1" ht="22" customHeight="1" spans="1:12">
      <c r="A95" s="285" t="s">
        <v>62</v>
      </c>
      <c r="B95" s="286">
        <f>'总表-数据收集'!AC13</f>
        <v>0</v>
      </c>
      <c r="C95" s="286"/>
      <c r="D95" s="286"/>
      <c r="E95" s="286"/>
      <c r="F95" s="286"/>
      <c r="G95" s="286"/>
      <c r="H95" s="96"/>
      <c r="I95" s="82"/>
      <c r="J95" s="82"/>
      <c r="K95" s="82"/>
      <c r="L95" s="82"/>
    </row>
    <row r="96" s="77" customFormat="1" ht="22" customHeight="1" spans="1:12">
      <c r="A96" s="231"/>
      <c r="B96" s="231"/>
      <c r="C96" s="231"/>
      <c r="D96" s="231"/>
      <c r="E96" s="231"/>
      <c r="F96" s="231"/>
      <c r="G96" s="231"/>
      <c r="H96" s="86" t="s">
        <v>55</v>
      </c>
      <c r="I96" s="82"/>
      <c r="J96" s="82"/>
      <c r="K96" s="82"/>
      <c r="L96" s="82"/>
    </row>
    <row r="97" s="77" customFormat="1" ht="22" customHeight="1" spans="1:15">
      <c r="A97" s="97" t="str">
        <f>'总表-数据收集'!B14</f>
        <v>河源零跑</v>
      </c>
      <c r="B97" s="97"/>
      <c r="C97" s="97"/>
      <c r="D97" s="97"/>
      <c r="E97" s="97"/>
      <c r="F97" s="97"/>
      <c r="G97" s="97"/>
      <c r="I97" s="82">
        <v>14</v>
      </c>
      <c r="J97" s="82"/>
      <c r="K97" s="82"/>
      <c r="L97" s="82"/>
    </row>
    <row r="98" s="77" customFormat="1" ht="22" customHeight="1" spans="1:15">
      <c r="A98" s="247" t="s">
        <v>48</v>
      </c>
      <c r="B98" s="247" t="s">
        <v>49</v>
      </c>
      <c r="C98" s="247" t="s">
        <v>50</v>
      </c>
      <c r="D98" s="247" t="s">
        <v>51</v>
      </c>
      <c r="E98" s="247" t="s">
        <v>52</v>
      </c>
      <c r="F98" s="254" t="s">
        <v>53</v>
      </c>
      <c r="G98" s="254" t="s">
        <v>54</v>
      </c>
      <c r="I98" s="82"/>
      <c r="J98" s="82"/>
      <c r="K98" s="82"/>
      <c r="L98" s="82"/>
    </row>
    <row r="99" s="77" customFormat="1" ht="22" customHeight="1" spans="1:15">
      <c r="A99" s="256" t="s">
        <v>56</v>
      </c>
      <c r="B99" s="256" t="e">
        <f>#REF!</f>
        <v>#REF!</v>
      </c>
      <c r="C99" s="239">
        <f>'总表-数据收集'!F14</f>
        <v>462</v>
      </c>
      <c r="D99" s="256">
        <f>目标数据!F14</f>
        <v>80</v>
      </c>
      <c r="E99" s="271">
        <f t="shared" ref="E99:E103" si="18">C99/D99</f>
        <v>5.775</v>
      </c>
      <c r="F99" s="270">
        <f>C99-D99*E3</f>
        <v>400.064516129032</v>
      </c>
      <c r="G99" s="270">
        <f t="shared" ref="G99:G103" si="19">C99-D99</f>
        <v>382</v>
      </c>
      <c r="I99" s="82"/>
      <c r="J99" s="82"/>
      <c r="K99" s="82"/>
      <c r="L99" s="82"/>
    </row>
    <row r="100" s="77" customFormat="1" ht="22" customHeight="1" spans="1:15">
      <c r="A100" s="256" t="s">
        <v>57</v>
      </c>
      <c r="B100" s="256" t="e">
        <f>#REF!</f>
        <v>#REF!</v>
      </c>
      <c r="C100" s="239">
        <f>'总表-数据收集'!G14</f>
        <v>600</v>
      </c>
      <c r="D100" s="256">
        <f>目标数据!G14</f>
        <v>90</v>
      </c>
      <c r="E100" s="271">
        <f t="shared" si="18"/>
        <v>6.66666666666667</v>
      </c>
      <c r="F100" s="270">
        <f>C100-D100*E3</f>
        <v>530.322580645161</v>
      </c>
      <c r="G100" s="270">
        <f t="shared" si="19"/>
        <v>510</v>
      </c>
      <c r="I100" s="82"/>
      <c r="J100" s="82"/>
      <c r="K100" s="82"/>
      <c r="L100" s="82"/>
    </row>
    <row r="101" s="77" customFormat="1" ht="22" customHeight="1" spans="1:15">
      <c r="A101" s="256" t="s">
        <v>58</v>
      </c>
      <c r="B101" s="256" t="e">
        <f>#REF!</f>
        <v>#REF!</v>
      </c>
      <c r="C101" s="239">
        <f>'总表-数据收集'!H14</f>
        <v>6538</v>
      </c>
      <c r="D101" s="256">
        <f>目标数据!M14</f>
        <v>1400</v>
      </c>
      <c r="E101" s="269">
        <f t="shared" si="18"/>
        <v>4.67</v>
      </c>
      <c r="F101" s="270">
        <f>C101-D101*E3</f>
        <v>5454.12903225806</v>
      </c>
      <c r="G101" s="270">
        <f t="shared" si="19"/>
        <v>5138</v>
      </c>
      <c r="I101" s="82"/>
      <c r="J101" s="82"/>
      <c r="K101" s="82"/>
      <c r="L101" s="82"/>
    </row>
    <row r="102" s="77" customFormat="1" ht="22" customHeight="1" spans="1:15">
      <c r="A102" s="256" t="s">
        <v>59</v>
      </c>
      <c r="B102" s="256" t="e">
        <f>#REF!</f>
        <v>#REF!</v>
      </c>
      <c r="C102" s="239">
        <f>'总表-数据收集'!R14</f>
        <v>602</v>
      </c>
      <c r="D102" s="256">
        <f>目标数据!O14</f>
        <v>80</v>
      </c>
      <c r="E102" s="269">
        <f t="shared" si="18"/>
        <v>7.525</v>
      </c>
      <c r="F102" s="270">
        <f>C102-D102*E3</f>
        <v>540.064516129032</v>
      </c>
      <c r="G102" s="270">
        <f t="shared" si="19"/>
        <v>522</v>
      </c>
      <c r="I102" s="82"/>
      <c r="J102" s="82"/>
      <c r="K102" s="82"/>
      <c r="L102" s="82"/>
    </row>
    <row r="103" s="77" customFormat="1" ht="22" customHeight="1" spans="1:15">
      <c r="A103" s="256" t="s">
        <v>60</v>
      </c>
      <c r="B103" s="256" t="e">
        <f>#REF!</f>
        <v>#REF!</v>
      </c>
      <c r="C103" s="239">
        <f>'总表-数据收集'!U14</f>
        <v>122</v>
      </c>
      <c r="D103" s="256">
        <f>目标数据!P14</f>
        <v>20</v>
      </c>
      <c r="E103" s="269">
        <f t="shared" si="18"/>
        <v>6.1</v>
      </c>
      <c r="F103" s="270">
        <f>C103-D103*E3</f>
        <v>106.516129032258</v>
      </c>
      <c r="G103" s="270">
        <f t="shared" si="19"/>
        <v>102</v>
      </c>
      <c r="I103" s="82"/>
      <c r="J103" s="82"/>
      <c r="K103" s="79"/>
      <c r="L103" s="79"/>
      <c r="M103" s="78"/>
      <c r="N103" s="78"/>
      <c r="O103" s="78"/>
    </row>
    <row r="104" spans="1:15">
      <c r="A104" s="256" t="s">
        <v>61</v>
      </c>
      <c r="B104" s="269">
        <f>'总表-数据收集'!X14</f>
        <v>0.321</v>
      </c>
      <c r="C104" s="269"/>
      <c r="D104" s="269"/>
      <c r="E104" s="269"/>
      <c r="F104" s="269"/>
      <c r="G104" s="269"/>
    </row>
    <row r="105" ht="20.5" customHeight="1" spans="1:15">
      <c r="A105" s="285" t="s">
        <v>62</v>
      </c>
      <c r="B105" s="286">
        <f>'总表-数据收集'!AC14</f>
        <v>122</v>
      </c>
      <c r="C105" s="286"/>
      <c r="D105" s="286"/>
      <c r="E105" s="286"/>
      <c r="F105" s="286"/>
      <c r="G105" s="286"/>
      <c r="H105" s="97"/>
    </row>
    <row r="106" ht="20.5" customHeight="1" spans="1:15">
      <c r="H106" s="86" t="s">
        <v>55</v>
      </c>
    </row>
    <row r="107" ht="20.5" customHeight="1" spans="1:15">
      <c r="A107" s="99" t="str">
        <f>'总表-数据收集'!B15</f>
        <v>汕头零跑</v>
      </c>
      <c r="B107" s="99"/>
      <c r="C107" s="99"/>
      <c r="D107" s="99"/>
      <c r="E107" s="99"/>
      <c r="F107" s="99"/>
      <c r="G107" s="99"/>
      <c r="H107" s="77"/>
      <c r="I107" s="79">
        <v>15</v>
      </c>
    </row>
    <row r="108" ht="20.5" customHeight="1" spans="1:15">
      <c r="A108" s="247" t="s">
        <v>48</v>
      </c>
      <c r="B108" s="247" t="s">
        <v>49</v>
      </c>
      <c r="C108" s="247" t="s">
        <v>50</v>
      </c>
      <c r="D108" s="247" t="s">
        <v>51</v>
      </c>
      <c r="E108" s="247" t="s">
        <v>52</v>
      </c>
      <c r="F108" s="254" t="s">
        <v>53</v>
      </c>
      <c r="G108" s="254" t="s">
        <v>54</v>
      </c>
      <c r="H108" s="77"/>
      <c r="N108" s="98"/>
    </row>
    <row r="109" ht="20.5" customHeight="1" spans="1:15">
      <c r="A109" s="256" t="s">
        <v>56</v>
      </c>
      <c r="B109" s="256" t="e">
        <f>#REF!</f>
        <v>#REF!</v>
      </c>
      <c r="C109" s="239">
        <f>'总表-数据收集'!F15</f>
        <v>606</v>
      </c>
      <c r="D109" s="256">
        <f>目标数据!F15</f>
        <v>100</v>
      </c>
      <c r="E109" s="269">
        <f t="shared" ref="E109:E113" si="20">C109/D109</f>
        <v>6.06</v>
      </c>
      <c r="F109" s="270">
        <f>C109-D109*E3</f>
        <v>528.58064516129</v>
      </c>
      <c r="G109" s="270">
        <f t="shared" ref="G109:G113" si="21">C109-D109</f>
        <v>506</v>
      </c>
      <c r="H109" s="77"/>
    </row>
    <row r="110" ht="20.5" customHeight="1" spans="1:15">
      <c r="A110" s="256" t="s">
        <v>57</v>
      </c>
      <c r="B110" s="256" t="e">
        <f>#REF!</f>
        <v>#REF!</v>
      </c>
      <c r="C110" s="239">
        <f>'总表-数据收集'!G15</f>
        <v>668</v>
      </c>
      <c r="D110" s="256">
        <f>目标数据!G15</f>
        <v>100</v>
      </c>
      <c r="E110" s="269">
        <f t="shared" si="20"/>
        <v>6.68</v>
      </c>
      <c r="F110" s="270">
        <f>C110-D110*E3</f>
        <v>590.58064516129</v>
      </c>
      <c r="G110" s="270">
        <f t="shared" si="21"/>
        <v>568</v>
      </c>
      <c r="H110" s="77"/>
    </row>
    <row r="111" ht="20.5" customHeight="1" spans="1:15">
      <c r="A111" s="256" t="s">
        <v>58</v>
      </c>
      <c r="B111" s="256" t="e">
        <f>#REF!</f>
        <v>#REF!</v>
      </c>
      <c r="C111" s="239">
        <f>'总表-数据收集'!H15</f>
        <v>7545</v>
      </c>
      <c r="D111" s="256">
        <f>目标数据!M15</f>
        <v>1400</v>
      </c>
      <c r="E111" s="269">
        <f t="shared" si="20"/>
        <v>5.38928571428571</v>
      </c>
      <c r="F111" s="270">
        <f>C111-D111*E3</f>
        <v>6461.12903225806</v>
      </c>
      <c r="G111" s="270">
        <f t="shared" si="21"/>
        <v>6145</v>
      </c>
      <c r="H111" s="77"/>
    </row>
    <row r="112" ht="20.5" customHeight="1" spans="1:15">
      <c r="A112" s="256" t="s">
        <v>59</v>
      </c>
      <c r="B112" s="256" t="e">
        <f>#REF!</f>
        <v>#REF!</v>
      </c>
      <c r="C112" s="239">
        <f>'总表-数据收集'!R15</f>
        <v>529</v>
      </c>
      <c r="D112" s="256">
        <f>目标数据!O15</f>
        <v>80</v>
      </c>
      <c r="E112" s="269">
        <f t="shared" si="20"/>
        <v>6.6125</v>
      </c>
      <c r="F112" s="270">
        <f>C112-D112*E3</f>
        <v>467.064516129032</v>
      </c>
      <c r="G112" s="270">
        <f t="shared" si="21"/>
        <v>449</v>
      </c>
      <c r="H112" s="77"/>
    </row>
    <row r="113" ht="20.5" customHeight="1" spans="1:9">
      <c r="A113" s="256" t="s">
        <v>60</v>
      </c>
      <c r="B113" s="256" t="e">
        <f>#REF!</f>
        <v>#REF!</v>
      </c>
      <c r="C113" s="239">
        <f>'总表-数据收集'!U15</f>
        <v>143</v>
      </c>
      <c r="D113" s="256">
        <f>目标数据!P15</f>
        <v>20</v>
      </c>
      <c r="E113" s="269">
        <f t="shared" si="20"/>
        <v>7.15</v>
      </c>
      <c r="F113" s="270">
        <f>C113-D113*E3</f>
        <v>127.516129032258</v>
      </c>
      <c r="G113" s="270">
        <f t="shared" si="21"/>
        <v>123</v>
      </c>
      <c r="H113" s="77"/>
    </row>
    <row r="114" spans="1:9">
      <c r="A114" s="256" t="s">
        <v>61</v>
      </c>
      <c r="B114" s="269">
        <f>'总表-数据收集'!X15</f>
        <v>0.25</v>
      </c>
      <c r="C114" s="269"/>
      <c r="D114" s="269"/>
      <c r="E114" s="269"/>
      <c r="F114" s="269"/>
      <c r="G114" s="269"/>
    </row>
    <row r="115" spans="1:9">
      <c r="A115" s="285" t="s">
        <v>62</v>
      </c>
      <c r="B115" s="286">
        <f>'总表-数据收集'!AC15</f>
        <v>38</v>
      </c>
      <c r="C115" s="286"/>
      <c r="D115" s="286"/>
      <c r="E115" s="286"/>
      <c r="F115" s="286"/>
      <c r="G115" s="286"/>
      <c r="H115" s="99"/>
    </row>
    <row r="116" spans="1:9">
      <c r="H116" s="86" t="s">
        <v>55</v>
      </c>
    </row>
    <row r="117" spans="1:9">
      <c r="A117" s="287" t="str">
        <f>'总表-数据收集'!B16</f>
        <v>清远港鸿</v>
      </c>
      <c r="B117" s="287"/>
      <c r="C117" s="287"/>
      <c r="D117" s="287"/>
      <c r="E117" s="287"/>
      <c r="F117" s="287"/>
      <c r="G117" s="287"/>
      <c r="H117" s="77"/>
      <c r="I117" s="79">
        <v>16</v>
      </c>
    </row>
    <row r="118" spans="1:9">
      <c r="A118" s="247" t="s">
        <v>48</v>
      </c>
      <c r="B118" s="247" t="s">
        <v>49</v>
      </c>
      <c r="C118" s="247" t="s">
        <v>50</v>
      </c>
      <c r="D118" s="247" t="s">
        <v>51</v>
      </c>
      <c r="E118" s="247" t="s">
        <v>52</v>
      </c>
      <c r="F118" s="254" t="s">
        <v>53</v>
      </c>
      <c r="G118" s="254" t="s">
        <v>54</v>
      </c>
      <c r="H118" s="77"/>
    </row>
    <row r="119" spans="1:9">
      <c r="A119" s="256" t="s">
        <v>56</v>
      </c>
      <c r="B119" s="256" t="e">
        <f>#REF!</f>
        <v>#REF!</v>
      </c>
      <c r="C119" s="239">
        <f>'总表-数据收集'!F16</f>
        <v>494</v>
      </c>
      <c r="D119" s="256">
        <f>目标数据!F16</f>
        <v>80</v>
      </c>
      <c r="E119" s="269">
        <f t="shared" ref="E119:E123" si="22">C119/D119</f>
        <v>6.175</v>
      </c>
      <c r="F119" s="270">
        <f>C119-D119*E3</f>
        <v>432.064516129032</v>
      </c>
      <c r="G119" s="270">
        <f>C119-D119</f>
        <v>414</v>
      </c>
      <c r="H119" s="77"/>
    </row>
    <row r="120" spans="1:9">
      <c r="A120" s="256" t="s">
        <v>57</v>
      </c>
      <c r="B120" s="256" t="e">
        <f>#REF!</f>
        <v>#REF!</v>
      </c>
      <c r="C120" s="239">
        <f>'总表-数据收集'!G16</f>
        <v>707</v>
      </c>
      <c r="D120" s="256">
        <f>目标数据!G16</f>
        <v>90</v>
      </c>
      <c r="E120" s="269">
        <f t="shared" si="22"/>
        <v>7.85555555555556</v>
      </c>
      <c r="F120" s="270">
        <f>C120-D120*E3</f>
        <v>637.322580645161</v>
      </c>
      <c r="G120" s="270">
        <f t="shared" ref="G119:G123" si="23">C120-D120</f>
        <v>617</v>
      </c>
      <c r="H120" s="77"/>
    </row>
    <row r="121" spans="1:9">
      <c r="A121" s="256" t="s">
        <v>58</v>
      </c>
      <c r="B121" s="256" t="e">
        <f>#REF!</f>
        <v>#REF!</v>
      </c>
      <c r="C121" s="239">
        <f>'总表-数据收集'!H16</f>
        <v>2655</v>
      </c>
      <c r="D121" s="256">
        <f>目标数据!M16</f>
        <v>456</v>
      </c>
      <c r="E121" s="269">
        <f t="shared" si="22"/>
        <v>5.82236842105263</v>
      </c>
      <c r="F121" s="270">
        <f>C121-D121*E3</f>
        <v>2301.96774193548</v>
      </c>
      <c r="G121" s="270">
        <f t="shared" si="23"/>
        <v>2199</v>
      </c>
      <c r="H121" s="77"/>
    </row>
    <row r="122" spans="1:9">
      <c r="A122" s="256" t="s">
        <v>59</v>
      </c>
      <c r="B122" s="256" t="e">
        <f>#REF!</f>
        <v>#REF!</v>
      </c>
      <c r="C122" s="239">
        <f>'总表-数据收集'!R16</f>
        <v>221</v>
      </c>
      <c r="D122" s="256">
        <f>目标数据!O16</f>
        <v>50</v>
      </c>
      <c r="E122" s="271">
        <f t="shared" si="22"/>
        <v>4.42</v>
      </c>
      <c r="F122" s="270">
        <f>C122-D122*E3</f>
        <v>182.290322580645</v>
      </c>
      <c r="G122" s="270">
        <f t="shared" si="23"/>
        <v>171</v>
      </c>
      <c r="H122" s="77"/>
    </row>
    <row r="123" spans="1:9">
      <c r="A123" s="256" t="s">
        <v>60</v>
      </c>
      <c r="B123" s="256" t="e">
        <f>#REF!</f>
        <v>#REF!</v>
      </c>
      <c r="C123" s="239">
        <f>'总表-数据收集'!U16</f>
        <v>44</v>
      </c>
      <c r="D123" s="256">
        <f>目标数据!P16</f>
        <v>8</v>
      </c>
      <c r="E123" s="271">
        <f t="shared" si="22"/>
        <v>5.5</v>
      </c>
      <c r="F123" s="270">
        <f>C123-D123*E3</f>
        <v>37.8064516129032</v>
      </c>
      <c r="G123" s="270">
        <f t="shared" si="23"/>
        <v>36</v>
      </c>
      <c r="H123" s="77"/>
    </row>
    <row r="124" spans="1:9">
      <c r="A124" s="256" t="s">
        <v>61</v>
      </c>
      <c r="B124" s="269">
        <f>'总表-数据收集'!X16</f>
        <v>0.1</v>
      </c>
      <c r="C124" s="269"/>
      <c r="D124" s="269"/>
      <c r="E124" s="269"/>
      <c r="F124" s="269"/>
      <c r="G124" s="269"/>
    </row>
    <row r="125" spans="1:9">
      <c r="A125" s="285" t="s">
        <v>62</v>
      </c>
      <c r="B125" s="286">
        <f>'总表-数据收集'!AC16</f>
        <v>572</v>
      </c>
      <c r="C125" s="286"/>
      <c r="D125" s="286"/>
      <c r="E125" s="286"/>
      <c r="F125" s="286"/>
      <c r="G125" s="286"/>
      <c r="H125" s="287"/>
    </row>
    <row r="126" spans="1:9">
      <c r="H126" s="86" t="s">
        <v>55</v>
      </c>
    </row>
    <row r="127" spans="1:9">
      <c r="A127" s="288" t="str">
        <f>'总表-数据收集'!B17</f>
        <v>从化零跑</v>
      </c>
      <c r="B127" s="288"/>
      <c r="C127" s="288"/>
      <c r="D127" s="288"/>
      <c r="E127" s="288"/>
      <c r="F127" s="288"/>
      <c r="G127" s="288"/>
      <c r="H127" s="77"/>
      <c r="I127" s="79">
        <v>17</v>
      </c>
    </row>
    <row r="128" spans="1:9">
      <c r="A128" s="247" t="s">
        <v>48</v>
      </c>
      <c r="B128" s="247" t="s">
        <v>49</v>
      </c>
      <c r="C128" s="247" t="s">
        <v>50</v>
      </c>
      <c r="D128" s="247" t="s">
        <v>51</v>
      </c>
      <c r="E128" s="247" t="s">
        <v>52</v>
      </c>
      <c r="F128" s="254" t="s">
        <v>53</v>
      </c>
      <c r="G128" s="254" t="s">
        <v>54</v>
      </c>
      <c r="H128" s="77"/>
    </row>
    <row r="129" spans="1:9">
      <c r="A129" s="256" t="s">
        <v>56</v>
      </c>
      <c r="B129" s="256" t="e">
        <f>#REF!</f>
        <v>#REF!</v>
      </c>
      <c r="C129" s="239">
        <f>'总表-数据收集'!F17</f>
        <v>313</v>
      </c>
      <c r="D129" s="256">
        <f>目标数据!F17</f>
        <v>80</v>
      </c>
      <c r="E129" s="271">
        <f>C129/D129</f>
        <v>3.9125</v>
      </c>
      <c r="F129" s="270">
        <f>C129-D129*E3</f>
        <v>251.064516129032</v>
      </c>
      <c r="G129" s="270">
        <f>C129-D129</f>
        <v>233</v>
      </c>
      <c r="H129" s="77"/>
    </row>
    <row r="130" spans="1:9">
      <c r="A130" s="256" t="s">
        <v>57</v>
      </c>
      <c r="B130" s="256" t="e">
        <f>#REF!</f>
        <v>#REF!</v>
      </c>
      <c r="C130" s="239">
        <f>'总表-数据收集'!G17</f>
        <v>790</v>
      </c>
      <c r="D130" s="256">
        <f>目标数据!G17</f>
        <v>60</v>
      </c>
      <c r="E130" s="269">
        <f>C130/D130</f>
        <v>13.1666666666667</v>
      </c>
      <c r="F130" s="270">
        <f>C130-D130*E3</f>
        <v>743.548387096774</v>
      </c>
      <c r="G130" s="270">
        <f t="shared" ref="G129:G133" si="24">C130-D130</f>
        <v>730</v>
      </c>
      <c r="H130" s="77"/>
    </row>
    <row r="131" spans="1:9">
      <c r="A131" s="256" t="s">
        <v>58</v>
      </c>
      <c r="B131" s="256" t="e">
        <f>#REF!</f>
        <v>#REF!</v>
      </c>
      <c r="C131" s="239">
        <f>'总表-数据收集'!H17</f>
        <v>3253</v>
      </c>
      <c r="D131" s="256">
        <f>目标数据!M17</f>
        <v>500</v>
      </c>
      <c r="E131" s="271">
        <f t="shared" ref="E129:E133" si="25">C131/D131</f>
        <v>6.506</v>
      </c>
      <c r="F131" s="270">
        <f>C131-D131*E3</f>
        <v>2865.90322580645</v>
      </c>
      <c r="G131" s="270">
        <f t="shared" si="24"/>
        <v>2753</v>
      </c>
      <c r="H131" s="77"/>
    </row>
    <row r="132" spans="1:9">
      <c r="A132" s="256" t="s">
        <v>59</v>
      </c>
      <c r="B132" s="256" t="e">
        <f>#REF!</f>
        <v>#REF!</v>
      </c>
      <c r="C132" s="239">
        <f>'总表-数据收集'!R17</f>
        <v>72</v>
      </c>
      <c r="D132" s="256">
        <f>目标数据!O17</f>
        <v>50</v>
      </c>
      <c r="E132" s="271">
        <f t="shared" si="25"/>
        <v>1.44</v>
      </c>
      <c r="F132" s="270">
        <f>C132-D132*E3</f>
        <v>33.2903225806452</v>
      </c>
      <c r="G132" s="270">
        <f t="shared" si="24"/>
        <v>22</v>
      </c>
      <c r="H132" s="77"/>
    </row>
    <row r="133" spans="1:9">
      <c r="A133" s="256" t="s">
        <v>60</v>
      </c>
      <c r="B133" s="256" t="e">
        <f>#REF!</f>
        <v>#REF!</v>
      </c>
      <c r="C133" s="239">
        <f>'总表-数据收集'!U17</f>
        <v>28</v>
      </c>
      <c r="D133" s="256">
        <f>目标数据!P17</f>
        <v>15</v>
      </c>
      <c r="E133" s="271">
        <f t="shared" si="25"/>
        <v>1.86666666666667</v>
      </c>
      <c r="F133" s="270">
        <f>C133-D133*E3</f>
        <v>16.3870967741935</v>
      </c>
      <c r="G133" s="270">
        <f t="shared" si="24"/>
        <v>13</v>
      </c>
      <c r="H133" s="77"/>
    </row>
    <row r="134" spans="1:9">
      <c r="A134" s="256" t="s">
        <v>61</v>
      </c>
      <c r="B134" s="269">
        <f>'总表-数据收集'!X17</f>
        <v>0.1</v>
      </c>
      <c r="C134" s="269"/>
      <c r="D134" s="269"/>
      <c r="E134" s="269"/>
      <c r="F134" s="269"/>
      <c r="G134" s="269"/>
    </row>
    <row r="135" spans="1:9">
      <c r="A135" s="285" t="s">
        <v>62</v>
      </c>
      <c r="B135" s="286">
        <f>'总表-数据收集'!AC17</f>
        <v>0</v>
      </c>
      <c r="C135" s="286"/>
      <c r="D135" s="286"/>
      <c r="E135" s="286"/>
      <c r="F135" s="286"/>
      <c r="G135" s="286"/>
      <c r="H135" s="288"/>
    </row>
    <row r="136" spans="1:9">
      <c r="H136" s="86" t="s">
        <v>55</v>
      </c>
    </row>
    <row r="137" spans="1:9">
      <c r="A137" s="97" t="str">
        <f>'总表-数据收集'!B18</f>
        <v>清远奇晟</v>
      </c>
      <c r="B137" s="97"/>
      <c r="C137" s="97"/>
      <c r="D137" s="97"/>
      <c r="E137" s="97"/>
      <c r="F137" s="97"/>
      <c r="G137" s="97"/>
      <c r="H137" s="77"/>
      <c r="I137" s="79">
        <v>18</v>
      </c>
    </row>
    <row r="138" spans="1:9">
      <c r="A138" s="247" t="s">
        <v>48</v>
      </c>
      <c r="B138" s="247" t="s">
        <v>49</v>
      </c>
      <c r="C138" s="247" t="s">
        <v>50</v>
      </c>
      <c r="D138" s="247" t="s">
        <v>51</v>
      </c>
      <c r="E138" s="247" t="s">
        <v>52</v>
      </c>
      <c r="F138" s="254" t="s">
        <v>53</v>
      </c>
      <c r="G138" s="254" t="s">
        <v>54</v>
      </c>
      <c r="H138" s="77"/>
    </row>
    <row r="139" spans="1:9">
      <c r="A139" s="256" t="s">
        <v>56</v>
      </c>
      <c r="B139" s="256" t="e">
        <f>#REF!</f>
        <v>#REF!</v>
      </c>
      <c r="C139" s="239">
        <f>'总表-数据收集'!F18</f>
        <v>446</v>
      </c>
      <c r="D139" s="256">
        <f>目标数据!F18</f>
        <v>80</v>
      </c>
      <c r="E139" s="271">
        <f t="shared" ref="E139:E143" si="26">C139/D139</f>
        <v>5.575</v>
      </c>
      <c r="F139" s="270">
        <f>C139-D139*E3</f>
        <v>384.064516129032</v>
      </c>
      <c r="G139" s="270">
        <f t="shared" ref="G139:G143" si="27">C139-D139</f>
        <v>366</v>
      </c>
      <c r="H139" s="77"/>
    </row>
    <row r="140" spans="1:9">
      <c r="A140" s="256" t="s">
        <v>57</v>
      </c>
      <c r="B140" s="256" t="e">
        <f>#REF!</f>
        <v>#REF!</v>
      </c>
      <c r="C140" s="239">
        <f>'总表-数据收集'!G18</f>
        <v>711</v>
      </c>
      <c r="D140" s="256">
        <f>目标数据!G18</f>
        <v>90</v>
      </c>
      <c r="E140" s="269">
        <f t="shared" si="26"/>
        <v>7.9</v>
      </c>
      <c r="F140" s="270">
        <f>C140-D140*E3</f>
        <v>641.322580645161</v>
      </c>
      <c r="G140" s="270">
        <f t="shared" si="27"/>
        <v>621</v>
      </c>
      <c r="H140" s="77"/>
    </row>
    <row r="141" spans="1:9">
      <c r="A141" s="256" t="s">
        <v>58</v>
      </c>
      <c r="B141" s="256" t="e">
        <f>#REF!</f>
        <v>#REF!</v>
      </c>
      <c r="C141" s="239">
        <f>'总表-数据收集'!H18</f>
        <v>1998</v>
      </c>
      <c r="D141" s="256">
        <f>目标数据!M18</f>
        <v>428</v>
      </c>
      <c r="E141" s="271">
        <f t="shared" si="26"/>
        <v>4.66822429906542</v>
      </c>
      <c r="F141" s="270">
        <f>C141-D141*E3</f>
        <v>1666.64516129032</v>
      </c>
      <c r="G141" s="270">
        <f t="shared" si="27"/>
        <v>1570</v>
      </c>
      <c r="H141" s="77"/>
    </row>
    <row r="142" spans="1:9">
      <c r="A142" s="256" t="s">
        <v>59</v>
      </c>
      <c r="B142" s="256" t="e">
        <f>#REF!</f>
        <v>#REF!</v>
      </c>
      <c r="C142" s="239">
        <f>'总表-数据收集'!R18</f>
        <v>128</v>
      </c>
      <c r="D142" s="256">
        <f>目标数据!O18</f>
        <v>50</v>
      </c>
      <c r="E142" s="271">
        <f t="shared" si="26"/>
        <v>2.56</v>
      </c>
      <c r="F142" s="270">
        <f>C142-D142*E3</f>
        <v>89.2903225806452</v>
      </c>
      <c r="G142" s="270">
        <f t="shared" si="27"/>
        <v>78</v>
      </c>
      <c r="H142" s="77"/>
    </row>
    <row r="143" spans="1:9">
      <c r="A143" s="256" t="s">
        <v>60</v>
      </c>
      <c r="B143" s="256" t="e">
        <f>#REF!</f>
        <v>#REF!</v>
      </c>
      <c r="C143" s="239">
        <f>'总表-数据收集'!U18</f>
        <v>28</v>
      </c>
      <c r="D143" s="256">
        <f>目标数据!P18</f>
        <v>6</v>
      </c>
      <c r="E143" s="271">
        <f t="shared" si="26"/>
        <v>4.66666666666667</v>
      </c>
      <c r="F143" s="270">
        <f>C143-D143*E3</f>
        <v>23.3548387096774</v>
      </c>
      <c r="G143" s="270">
        <f t="shared" si="27"/>
        <v>22</v>
      </c>
    </row>
    <row r="144" spans="1:9">
      <c r="A144" s="256" t="s">
        <v>61</v>
      </c>
      <c r="B144" s="269">
        <f>'总表-数据收集'!X18</f>
        <v>0</v>
      </c>
      <c r="C144" s="269"/>
      <c r="D144" s="269"/>
      <c r="E144" s="269"/>
      <c r="F144" s="269"/>
      <c r="G144" s="269"/>
    </row>
    <row r="145" spans="1:9">
      <c r="A145" s="285" t="s">
        <v>62</v>
      </c>
      <c r="B145" s="286">
        <f>'总表-数据收集'!AC18</f>
        <v>592</v>
      </c>
      <c r="C145" s="286"/>
      <c r="D145" s="286"/>
      <c r="E145" s="286"/>
      <c r="F145" s="286"/>
      <c r="G145" s="286"/>
      <c r="H145" s="97"/>
    </row>
    <row r="146" spans="1:9">
      <c r="H146" s="86" t="s">
        <v>55</v>
      </c>
    </row>
    <row r="147" spans="1:9">
      <c r="A147" s="99" t="str">
        <f>'总表-数据收集'!B19</f>
        <v>清远英德</v>
      </c>
      <c r="B147" s="99"/>
      <c r="C147" s="99"/>
      <c r="D147" s="99"/>
      <c r="E147" s="99"/>
      <c r="F147" s="99"/>
      <c r="G147" s="99"/>
      <c r="H147" s="77"/>
      <c r="I147" s="79">
        <v>19</v>
      </c>
    </row>
    <row r="148" spans="1:9">
      <c r="A148" s="247" t="s">
        <v>48</v>
      </c>
      <c r="B148" s="247" t="s">
        <v>49</v>
      </c>
      <c r="C148" s="247" t="s">
        <v>50</v>
      </c>
      <c r="D148" s="247" t="s">
        <v>51</v>
      </c>
      <c r="E148" s="247" t="s">
        <v>52</v>
      </c>
      <c r="F148" s="254" t="s">
        <v>53</v>
      </c>
      <c r="G148" s="254" t="s">
        <v>54</v>
      </c>
      <c r="H148" s="77"/>
    </row>
    <row r="149" spans="1:9">
      <c r="A149" s="256" t="s">
        <v>56</v>
      </c>
      <c r="B149" s="256" t="e">
        <f>#REF!</f>
        <v>#REF!</v>
      </c>
      <c r="C149" s="239">
        <f>'总表-数据收集'!F19</f>
        <v>377</v>
      </c>
      <c r="D149" s="256">
        <f>目标数据!F19</f>
        <v>60</v>
      </c>
      <c r="E149" s="269">
        <f t="shared" ref="E149:E153" si="28">C149/D149</f>
        <v>6.28333333333333</v>
      </c>
      <c r="F149" s="270">
        <f>C149-D149*E3</f>
        <v>330.548387096774</v>
      </c>
      <c r="G149" s="270">
        <f t="shared" ref="G149:G153" si="29">C149-D149</f>
        <v>317</v>
      </c>
      <c r="H149" s="77"/>
    </row>
    <row r="150" spans="1:9">
      <c r="A150" s="256" t="s">
        <v>57</v>
      </c>
      <c r="B150" s="256" t="e">
        <f>#REF!</f>
        <v>#REF!</v>
      </c>
      <c r="C150" s="239">
        <f>'总表-数据收集'!G19</f>
        <v>435</v>
      </c>
      <c r="D150" s="256">
        <f>目标数据!G19</f>
        <v>60</v>
      </c>
      <c r="E150" s="269">
        <f t="shared" si="28"/>
        <v>7.25</v>
      </c>
      <c r="F150" s="270">
        <f>C150-D150*E3</f>
        <v>388.548387096774</v>
      </c>
      <c r="G150" s="270">
        <f t="shared" si="29"/>
        <v>375</v>
      </c>
      <c r="H150" s="77"/>
    </row>
    <row r="151" spans="1:9">
      <c r="A151" s="256" t="s">
        <v>58</v>
      </c>
      <c r="B151" s="256" t="e">
        <f>#REF!</f>
        <v>#REF!</v>
      </c>
      <c r="C151" s="239">
        <f>'总表-数据收集'!H19</f>
        <v>249</v>
      </c>
      <c r="D151" s="256">
        <f>目标数据!M19</f>
        <v>60</v>
      </c>
      <c r="E151" s="269">
        <f t="shared" si="28"/>
        <v>4.15</v>
      </c>
      <c r="F151" s="270">
        <f>C151-D151*E3</f>
        <v>202.548387096774</v>
      </c>
      <c r="G151" s="270">
        <f t="shared" si="29"/>
        <v>189</v>
      </c>
      <c r="H151" s="77"/>
    </row>
    <row r="152" spans="1:9">
      <c r="A152" s="256" t="s">
        <v>59</v>
      </c>
      <c r="B152" s="256" t="e">
        <f>#REF!</f>
        <v>#REF!</v>
      </c>
      <c r="C152" s="239">
        <f>'总表-数据收集'!R19</f>
        <v>54</v>
      </c>
      <c r="D152" s="256">
        <f>目标数据!O19</f>
        <v>15</v>
      </c>
      <c r="E152" s="271">
        <f t="shared" si="28"/>
        <v>3.6</v>
      </c>
      <c r="F152" s="270">
        <f>C152-D152*E3</f>
        <v>42.3870967741935</v>
      </c>
      <c r="G152" s="270">
        <f t="shared" si="29"/>
        <v>39</v>
      </c>
      <c r="H152" s="77"/>
    </row>
    <row r="153" spans="1:9">
      <c r="A153" s="256" t="s">
        <v>60</v>
      </c>
      <c r="B153" s="256" t="e">
        <f>#REF!</f>
        <v>#REF!</v>
      </c>
      <c r="C153" s="239">
        <f>'总表-数据收集'!U19</f>
        <v>0</v>
      </c>
      <c r="D153" s="256">
        <f>目标数据!P19</f>
        <v>15</v>
      </c>
      <c r="E153" s="271">
        <f t="shared" si="28"/>
        <v>0</v>
      </c>
      <c r="F153" s="270">
        <f>C153-D153*E3</f>
        <v>-11.6129032258065</v>
      </c>
      <c r="G153" s="270">
        <f t="shared" si="29"/>
        <v>-15</v>
      </c>
      <c r="H153" s="77"/>
    </row>
    <row r="154" spans="1:9">
      <c r="A154" s="256" t="s">
        <v>61</v>
      </c>
      <c r="B154" s="269">
        <f>'总表-数据收集'!X19</f>
        <v>0</v>
      </c>
      <c r="C154" s="269"/>
      <c r="D154" s="269"/>
      <c r="E154" s="269"/>
      <c r="F154" s="269"/>
      <c r="G154" s="269"/>
    </row>
    <row r="155" spans="1:9">
      <c r="A155" s="285" t="s">
        <v>62</v>
      </c>
      <c r="B155" s="286">
        <f>'总表-数据收集'!AC19</f>
        <v>0</v>
      </c>
      <c r="C155" s="286"/>
      <c r="D155" s="286"/>
      <c r="E155" s="286"/>
      <c r="F155" s="286"/>
      <c r="G155" s="286"/>
      <c r="H155" s="99"/>
    </row>
    <row r="156" spans="1:9">
      <c r="H156" s="86" t="s">
        <v>55</v>
      </c>
    </row>
    <row r="157" spans="1:9">
      <c r="A157" s="288" t="str">
        <f>'总表-数据收集'!B20</f>
        <v>广花零跑</v>
      </c>
      <c r="B157" s="288"/>
      <c r="C157" s="288"/>
      <c r="D157" s="288"/>
      <c r="E157" s="288"/>
      <c r="F157" s="288"/>
      <c r="G157" s="288"/>
      <c r="H157" s="77"/>
      <c r="I157" s="79">
        <v>20</v>
      </c>
    </row>
    <row r="158" spans="1:9">
      <c r="A158" s="247" t="s">
        <v>48</v>
      </c>
      <c r="B158" s="247" t="s">
        <v>49</v>
      </c>
      <c r="C158" s="247" t="s">
        <v>50</v>
      </c>
      <c r="D158" s="247" t="s">
        <v>51</v>
      </c>
      <c r="E158" s="247" t="s">
        <v>52</v>
      </c>
      <c r="F158" s="254" t="s">
        <v>53</v>
      </c>
      <c r="G158" s="254" t="s">
        <v>54</v>
      </c>
      <c r="H158" s="77"/>
    </row>
    <row r="159" spans="1:9">
      <c r="A159" s="256" t="s">
        <v>56</v>
      </c>
      <c r="B159" s="256" t="e">
        <f>#REF!</f>
        <v>#REF!</v>
      </c>
      <c r="C159" s="239">
        <f>'总表-数据收集'!F20</f>
        <v>416</v>
      </c>
      <c r="D159" s="256">
        <f>目标数据!F20</f>
        <v>80</v>
      </c>
      <c r="E159" s="289">
        <f t="shared" ref="E159:E163" si="30">C159/D159</f>
        <v>5.2</v>
      </c>
      <c r="F159" s="270">
        <f>C159-D159*E3</f>
        <v>354.064516129032</v>
      </c>
      <c r="G159" s="270">
        <f t="shared" ref="G159:G163" si="31">C159-D159</f>
        <v>336</v>
      </c>
      <c r="H159" s="77"/>
    </row>
    <row r="160" spans="1:9">
      <c r="A160" s="256" t="s">
        <v>57</v>
      </c>
      <c r="B160" s="256" t="e">
        <f>#REF!</f>
        <v>#REF!</v>
      </c>
      <c r="C160" s="239">
        <f>'总表-数据收集'!G20</f>
        <v>903</v>
      </c>
      <c r="D160" s="256">
        <f>目标数据!G20</f>
        <v>60</v>
      </c>
      <c r="E160" s="269">
        <f t="shared" si="30"/>
        <v>15.05</v>
      </c>
      <c r="F160" s="270">
        <f>C160-D160*E3</f>
        <v>856.548387096774</v>
      </c>
      <c r="G160" s="270">
        <f t="shared" si="31"/>
        <v>843</v>
      </c>
      <c r="H160" s="77"/>
    </row>
    <row r="161" spans="1:9">
      <c r="A161" s="256" t="s">
        <v>58</v>
      </c>
      <c r="B161" s="256" t="e">
        <f>#REF!</f>
        <v>#REF!</v>
      </c>
      <c r="C161" s="239">
        <f>'总表-数据收集'!H20</f>
        <v>3138</v>
      </c>
      <c r="D161" s="256">
        <f>目标数据!M20</f>
        <v>500</v>
      </c>
      <c r="E161" s="271">
        <f t="shared" si="30"/>
        <v>6.276</v>
      </c>
      <c r="F161" s="270">
        <f>C161-D161*E3</f>
        <v>2750.90322580645</v>
      </c>
      <c r="G161" s="270">
        <f t="shared" si="31"/>
        <v>2638</v>
      </c>
      <c r="H161" s="77"/>
    </row>
    <row r="162" spans="1:9">
      <c r="A162" s="256" t="s">
        <v>59</v>
      </c>
      <c r="B162" s="256" t="e">
        <f>#REF!</f>
        <v>#REF!</v>
      </c>
      <c r="C162" s="239">
        <f>'总表-数据收集'!R20</f>
        <v>74</v>
      </c>
      <c r="D162" s="256">
        <f>目标数据!O20</f>
        <v>50</v>
      </c>
      <c r="E162" s="271">
        <f t="shared" si="30"/>
        <v>1.48</v>
      </c>
      <c r="F162" s="270">
        <f>C162-D162*E3</f>
        <v>35.2903225806452</v>
      </c>
      <c r="G162" s="270">
        <f t="shared" si="31"/>
        <v>24</v>
      </c>
      <c r="H162" s="77"/>
    </row>
    <row r="163" spans="1:9">
      <c r="A163" s="256" t="s">
        <v>60</v>
      </c>
      <c r="B163" s="256" t="e">
        <f>#REF!</f>
        <v>#REF!</v>
      </c>
      <c r="C163" s="239">
        <f>'总表-数据收集'!U20</f>
        <v>24</v>
      </c>
      <c r="D163" s="256">
        <f>目标数据!P20</f>
        <v>15</v>
      </c>
      <c r="E163" s="271">
        <f t="shared" si="30"/>
        <v>1.6</v>
      </c>
      <c r="F163" s="270">
        <f>C163-D163*E3</f>
        <v>12.3870967741935</v>
      </c>
      <c r="G163" s="270">
        <f t="shared" si="31"/>
        <v>9</v>
      </c>
      <c r="H163" s="77"/>
    </row>
    <row r="164" spans="1:9">
      <c r="A164" s="256" t="s">
        <v>61</v>
      </c>
      <c r="B164" s="269">
        <f>'总表-数据收集'!X20</f>
        <v>0.5</v>
      </c>
      <c r="C164" s="269"/>
      <c r="D164" s="269"/>
      <c r="E164" s="269"/>
      <c r="F164" s="269"/>
      <c r="G164" s="269"/>
    </row>
    <row r="165" spans="1:9">
      <c r="A165" s="285" t="s">
        <v>62</v>
      </c>
      <c r="B165" s="286">
        <f>'总表-数据收集'!AC20</f>
        <v>290</v>
      </c>
      <c r="C165" s="286"/>
      <c r="D165" s="286"/>
      <c r="E165" s="286"/>
      <c r="F165" s="286"/>
      <c r="G165" s="286"/>
      <c r="H165" s="288"/>
    </row>
    <row r="166" spans="1:9">
      <c r="H166" s="86" t="s">
        <v>55</v>
      </c>
    </row>
    <row r="167" spans="1:9">
      <c r="A167" s="290" t="str">
        <f>'总表-数据收集'!B21</f>
        <v>花都北站零跑</v>
      </c>
      <c r="B167" s="290"/>
      <c r="C167" s="290"/>
      <c r="D167" s="290"/>
      <c r="E167" s="290"/>
      <c r="F167" s="290"/>
      <c r="G167" s="290"/>
      <c r="H167" s="77"/>
      <c r="I167" s="79">
        <v>21</v>
      </c>
    </row>
    <row r="168" spans="1:9">
      <c r="A168" s="247" t="s">
        <v>48</v>
      </c>
      <c r="B168" s="247" t="s">
        <v>49</v>
      </c>
      <c r="C168" s="247" t="s">
        <v>50</v>
      </c>
      <c r="D168" s="247" t="s">
        <v>51</v>
      </c>
      <c r="E168" s="247" t="s">
        <v>52</v>
      </c>
      <c r="F168" s="254" t="s">
        <v>53</v>
      </c>
      <c r="G168" s="254" t="s">
        <v>54</v>
      </c>
      <c r="H168" s="77"/>
    </row>
    <row r="169" spans="1:9">
      <c r="A169" s="256" t="s">
        <v>56</v>
      </c>
      <c r="B169" s="256" t="e">
        <f>#REF!</f>
        <v>#REF!</v>
      </c>
      <c r="C169" s="239">
        <f>'总表-数据收集'!F21</f>
        <v>376</v>
      </c>
      <c r="D169" s="256">
        <f>目标数据!F21</f>
        <v>80</v>
      </c>
      <c r="E169" s="271">
        <f t="shared" ref="E169:E173" si="32">C169/D169</f>
        <v>4.7</v>
      </c>
      <c r="F169" s="270">
        <f>C169-D169*E3</f>
        <v>314.064516129032</v>
      </c>
      <c r="G169" s="270">
        <f>C169-D169</f>
        <v>296</v>
      </c>
      <c r="H169" s="77"/>
    </row>
    <row r="170" spans="1:9">
      <c r="A170" s="256" t="s">
        <v>57</v>
      </c>
      <c r="B170" s="256" t="e">
        <f>#REF!</f>
        <v>#REF!</v>
      </c>
      <c r="C170" s="239">
        <f>'总表-数据收集'!G21</f>
        <v>807</v>
      </c>
      <c r="D170" s="256">
        <f>目标数据!G21</f>
        <v>100</v>
      </c>
      <c r="E170" s="269">
        <f t="shared" si="32"/>
        <v>8.07</v>
      </c>
      <c r="F170" s="270">
        <f>C170-D170*E3</f>
        <v>729.58064516129</v>
      </c>
      <c r="G170" s="270">
        <f t="shared" ref="G169:G173" si="33">C170-D170</f>
        <v>707</v>
      </c>
      <c r="H170" s="77"/>
    </row>
    <row r="171" spans="1:9">
      <c r="A171" s="256" t="s">
        <v>58</v>
      </c>
      <c r="B171" s="256" t="e">
        <f>#REF!</f>
        <v>#REF!</v>
      </c>
      <c r="C171" s="239">
        <f>'总表-数据收集'!H21</f>
        <v>1580</v>
      </c>
      <c r="D171" s="256">
        <f>目标数据!M21</f>
        <v>400</v>
      </c>
      <c r="E171" s="271">
        <f t="shared" si="32"/>
        <v>3.95</v>
      </c>
      <c r="F171" s="270">
        <f>C171-D171*E3</f>
        <v>1270.32258064516</v>
      </c>
      <c r="G171" s="270">
        <f t="shared" si="33"/>
        <v>1180</v>
      </c>
      <c r="H171" s="77"/>
    </row>
    <row r="172" spans="1:9">
      <c r="A172" s="256" t="s">
        <v>59</v>
      </c>
      <c r="B172" s="256" t="e">
        <f>#REF!</f>
        <v>#REF!</v>
      </c>
      <c r="C172" s="239">
        <f>'总表-数据收集'!R21</f>
        <v>93</v>
      </c>
      <c r="D172" s="256">
        <f>目标数据!O21</f>
        <v>20</v>
      </c>
      <c r="E172" s="271">
        <f t="shared" si="32"/>
        <v>4.65</v>
      </c>
      <c r="F172" s="270">
        <f>C172-D172*E3</f>
        <v>77.5161290322581</v>
      </c>
      <c r="G172" s="270">
        <f t="shared" si="33"/>
        <v>73</v>
      </c>
      <c r="H172" s="77"/>
    </row>
    <row r="173" spans="1:9">
      <c r="A173" s="256" t="s">
        <v>60</v>
      </c>
      <c r="B173" s="256" t="e">
        <f>#REF!</f>
        <v>#REF!</v>
      </c>
      <c r="C173" s="239">
        <f>'总表-数据收集'!U21</f>
        <v>25</v>
      </c>
      <c r="D173" s="256">
        <f>目标数据!P21</f>
        <v>7</v>
      </c>
      <c r="E173" s="271">
        <f t="shared" si="32"/>
        <v>3.57142857142857</v>
      </c>
      <c r="F173" s="270">
        <f>C173-D173*E3</f>
        <v>19.5806451612903</v>
      </c>
      <c r="G173" s="270">
        <f t="shared" si="33"/>
        <v>18</v>
      </c>
      <c r="H173" s="77"/>
    </row>
    <row r="174" spans="1:9">
      <c r="A174" s="256" t="s">
        <v>61</v>
      </c>
      <c r="B174" s="269">
        <f>'总表-数据收集'!X21</f>
        <v>0.25</v>
      </c>
      <c r="C174" s="269"/>
      <c r="D174" s="269"/>
      <c r="E174" s="269"/>
      <c r="F174" s="269"/>
      <c r="G174" s="269"/>
    </row>
    <row r="175" spans="1:9">
      <c r="A175" s="285" t="s">
        <v>62</v>
      </c>
      <c r="B175" s="286">
        <f>'总表-数据收集'!AC21</f>
        <v>535</v>
      </c>
      <c r="C175" s="286"/>
      <c r="D175" s="286"/>
      <c r="E175" s="286"/>
      <c r="F175" s="286"/>
      <c r="G175" s="286"/>
      <c r="H175" s="290"/>
    </row>
    <row r="176" spans="1:9">
      <c r="H176" s="86" t="s">
        <v>55</v>
      </c>
    </row>
    <row r="177" hidden="1" spans="1:9">
      <c r="A177" s="291" t="str">
        <f>'总表-数据收集'!B23</f>
        <v>合计</v>
      </c>
      <c r="B177" s="291"/>
      <c r="C177" s="291"/>
      <c r="D177" s="291"/>
      <c r="E177" s="291"/>
      <c r="F177" s="291"/>
      <c r="G177" s="291"/>
      <c r="H177" s="77"/>
      <c r="I177" s="79">
        <v>22</v>
      </c>
    </row>
    <row r="178" hidden="1" spans="1:9">
      <c r="A178" s="247" t="s">
        <v>48</v>
      </c>
      <c r="B178" s="247" t="s">
        <v>49</v>
      </c>
      <c r="C178" s="247" t="s">
        <v>50</v>
      </c>
      <c r="D178" s="247" t="s">
        <v>51</v>
      </c>
      <c r="E178" s="247" t="s">
        <v>52</v>
      </c>
      <c r="F178" s="254" t="s">
        <v>53</v>
      </c>
      <c r="G178" s="254" t="s">
        <v>54</v>
      </c>
      <c r="H178" s="77"/>
    </row>
    <row r="179" hidden="1" spans="1:9">
      <c r="A179" s="256" t="s">
        <v>56</v>
      </c>
      <c r="B179" s="256" t="e">
        <f>#REF!</f>
        <v>#REF!</v>
      </c>
      <c r="C179" s="239">
        <f>'总表-数据收集'!F21</f>
        <v>376</v>
      </c>
      <c r="D179" s="256">
        <f>目标数据!F22</f>
        <v>40</v>
      </c>
      <c r="E179" s="271">
        <f t="shared" ref="E179:E183" si="34">C179/D179</f>
        <v>9.4</v>
      </c>
      <c r="F179" s="270">
        <f>C179-D179*E3</f>
        <v>345.032258064516</v>
      </c>
      <c r="G179" s="270">
        <f t="shared" ref="G179:G183" si="35">C179-D179</f>
        <v>336</v>
      </c>
      <c r="H179" s="77"/>
    </row>
    <row r="180" hidden="1" spans="1:9">
      <c r="A180" s="256" t="s">
        <v>57</v>
      </c>
      <c r="B180" s="256" t="e">
        <f>#REF!</f>
        <v>#REF!</v>
      </c>
      <c r="C180" s="239">
        <f>'总表-数据收集'!G21</f>
        <v>807</v>
      </c>
      <c r="D180" s="256">
        <f>目标数据!G22</f>
        <v>40</v>
      </c>
      <c r="E180" s="269">
        <f t="shared" si="34"/>
        <v>20.175</v>
      </c>
      <c r="F180" s="270">
        <f>C180-D180*E3</f>
        <v>776.032258064516</v>
      </c>
      <c r="G180" s="270">
        <f t="shared" si="35"/>
        <v>767</v>
      </c>
      <c r="H180" s="77"/>
    </row>
    <row r="181" hidden="1" spans="1:9">
      <c r="A181" s="256" t="s">
        <v>58</v>
      </c>
      <c r="B181" s="256" t="e">
        <f>#REF!</f>
        <v>#REF!</v>
      </c>
      <c r="C181" s="239">
        <f>'总表-数据收集'!H21</f>
        <v>1580</v>
      </c>
      <c r="D181" s="256">
        <f>目标数据!M22</f>
        <v>250</v>
      </c>
      <c r="E181" s="271">
        <f t="shared" si="34"/>
        <v>6.32</v>
      </c>
      <c r="F181" s="270">
        <f>C181-D181*E3</f>
        <v>1386.45161290323</v>
      </c>
      <c r="G181" s="270">
        <f t="shared" si="35"/>
        <v>1330</v>
      </c>
      <c r="H181" s="77"/>
    </row>
    <row r="182" hidden="1" spans="1:9">
      <c r="A182" s="256" t="s">
        <v>59</v>
      </c>
      <c r="B182" s="256" t="e">
        <f>#REF!</f>
        <v>#REF!</v>
      </c>
      <c r="C182" s="239">
        <f>'总表-数据收集'!R21</f>
        <v>93</v>
      </c>
      <c r="D182" s="256">
        <f>目标数据!O22</f>
        <v>8</v>
      </c>
      <c r="E182" s="271">
        <f t="shared" si="34"/>
        <v>11.625</v>
      </c>
      <c r="F182" s="270">
        <f>C182-D182*E3</f>
        <v>86.8064516129032</v>
      </c>
      <c r="G182" s="270">
        <f t="shared" si="35"/>
        <v>85</v>
      </c>
      <c r="H182" s="77"/>
    </row>
    <row r="183" hidden="1" spans="1:9">
      <c r="A183" s="256" t="s">
        <v>60</v>
      </c>
      <c r="B183" s="256" t="e">
        <f>#REF!</f>
        <v>#REF!</v>
      </c>
      <c r="C183" s="239">
        <f>'总表-数据收集'!U21</f>
        <v>25</v>
      </c>
      <c r="D183" s="256">
        <f>目标数据!P22</f>
        <v>2</v>
      </c>
      <c r="E183" s="271">
        <f t="shared" si="34"/>
        <v>12.5</v>
      </c>
      <c r="F183" s="270">
        <f>C183-D183*E3</f>
        <v>23.4516129032258</v>
      </c>
      <c r="G183" s="270">
        <f t="shared" si="35"/>
        <v>23</v>
      </c>
      <c r="H183" s="77"/>
    </row>
    <row r="184" hidden="1" spans="1:9">
      <c r="A184" s="256" t="s">
        <v>61</v>
      </c>
      <c r="B184" s="269">
        <v>0.03</v>
      </c>
      <c r="C184" s="269"/>
      <c r="D184" s="269"/>
      <c r="E184" s="269"/>
      <c r="F184" s="269"/>
      <c r="G184" s="269"/>
    </row>
    <row r="185" hidden="1" spans="1:9">
      <c r="A185" s="285" t="s">
        <v>62</v>
      </c>
      <c r="B185" s="286">
        <f>'总表-数据收集'!AC21</f>
        <v>535</v>
      </c>
      <c r="C185" s="286"/>
      <c r="D185" s="286"/>
      <c r="E185" s="286"/>
      <c r="F185" s="286"/>
      <c r="G185" s="286"/>
    </row>
    <row r="186" spans="1:9">
      <c r="A186" s="292" t="str">
        <f>'总表-数据收集'!B22</f>
        <v>清远智己</v>
      </c>
      <c r="B186" s="292"/>
      <c r="C186" s="292"/>
      <c r="D186" s="292"/>
      <c r="E186" s="292"/>
      <c r="F186" s="292"/>
      <c r="G186" s="292"/>
      <c r="I186" s="79">
        <v>22</v>
      </c>
    </row>
    <row r="187" spans="1:9">
      <c r="A187" s="247" t="s">
        <v>48</v>
      </c>
      <c r="B187" s="247" t="s">
        <v>49</v>
      </c>
      <c r="C187" s="247" t="s">
        <v>50</v>
      </c>
      <c r="D187" s="247" t="s">
        <v>51</v>
      </c>
      <c r="E187" s="247" t="s">
        <v>52</v>
      </c>
      <c r="F187" s="254" t="s">
        <v>53</v>
      </c>
      <c r="G187" s="254" t="s">
        <v>54</v>
      </c>
    </row>
    <row r="188" spans="1:9">
      <c r="A188" s="256" t="s">
        <v>56</v>
      </c>
      <c r="B188" s="256" t="e">
        <f>#REF!</f>
        <v>#REF!</v>
      </c>
      <c r="C188" s="239">
        <f>'总表-数据收集'!F22</f>
        <v>128</v>
      </c>
      <c r="D188" s="256">
        <f>目标数据!F22</f>
        <v>40</v>
      </c>
      <c r="E188" s="269">
        <f t="shared" ref="E188:E192" si="36">C188/D188</f>
        <v>3.2</v>
      </c>
      <c r="F188" s="270">
        <f>C188-D188*E3</f>
        <v>97.0322580645161</v>
      </c>
      <c r="G188" s="270">
        <f t="shared" ref="G188:G192" si="37">C188-D188</f>
        <v>88</v>
      </c>
    </row>
    <row r="189" spans="1:9">
      <c r="A189" s="256" t="s">
        <v>57</v>
      </c>
      <c r="B189" s="256" t="e">
        <f>#REF!</f>
        <v>#REF!</v>
      </c>
      <c r="C189" s="239">
        <f>'总表-数据收集'!G22</f>
        <v>127</v>
      </c>
      <c r="D189" s="256">
        <f>目标数据!G22</f>
        <v>40</v>
      </c>
      <c r="E189" s="271">
        <f t="shared" si="36"/>
        <v>3.175</v>
      </c>
      <c r="F189" s="270">
        <f>C189-D189*E3</f>
        <v>96.0322580645161</v>
      </c>
      <c r="G189" s="270">
        <f t="shared" si="37"/>
        <v>87</v>
      </c>
    </row>
    <row r="190" spans="1:9">
      <c r="A190" s="256" t="s">
        <v>58</v>
      </c>
      <c r="B190" s="256" t="e">
        <f>#REF!</f>
        <v>#REF!</v>
      </c>
      <c r="C190" s="239">
        <f>'总表-数据收集'!H22</f>
        <v>541</v>
      </c>
      <c r="D190" s="256">
        <f>目标数据!M22</f>
        <v>250</v>
      </c>
      <c r="E190" s="271">
        <f t="shared" si="36"/>
        <v>2.164</v>
      </c>
      <c r="F190" s="270">
        <f>C190-D190*E3</f>
        <v>347.451612903226</v>
      </c>
      <c r="G190" s="270">
        <f t="shared" si="37"/>
        <v>291</v>
      </c>
    </row>
    <row r="191" spans="1:9">
      <c r="A191" s="256" t="s">
        <v>59</v>
      </c>
      <c r="B191" s="256" t="e">
        <f>#REF!</f>
        <v>#REF!</v>
      </c>
      <c r="C191" s="239">
        <f>'总表-数据收集'!R22</f>
        <v>5</v>
      </c>
      <c r="D191" s="256">
        <f>目标数据!O22</f>
        <v>8</v>
      </c>
      <c r="E191" s="271">
        <f t="shared" si="36"/>
        <v>0.625</v>
      </c>
      <c r="F191" s="270">
        <f>C191-D191*E3</f>
        <v>-1.19354838709678</v>
      </c>
      <c r="G191" s="270">
        <f t="shared" si="37"/>
        <v>-3</v>
      </c>
    </row>
    <row r="192" spans="1:9">
      <c r="A192" s="256" t="s">
        <v>60</v>
      </c>
      <c r="B192" s="256" t="e">
        <f>#REF!</f>
        <v>#REF!</v>
      </c>
      <c r="C192" s="239">
        <f>'总表-数据收集'!U22</f>
        <v>2</v>
      </c>
      <c r="D192" s="256">
        <f>目标数据!P22</f>
        <v>2</v>
      </c>
      <c r="E192" s="271">
        <f t="shared" si="36"/>
        <v>1</v>
      </c>
      <c r="F192" s="270">
        <f>C192-D192*E3</f>
        <v>0.451612903225806</v>
      </c>
      <c r="G192" s="270">
        <f t="shared" si="37"/>
        <v>0</v>
      </c>
    </row>
    <row r="193" spans="1:7">
      <c r="A193" s="256" t="s">
        <v>61</v>
      </c>
      <c r="B193" s="269">
        <f>'总表-数据收集'!X22</f>
        <v>0</v>
      </c>
      <c r="C193" s="269"/>
      <c r="D193" s="269"/>
      <c r="E193" s="269"/>
      <c r="F193" s="269"/>
      <c r="G193" s="269"/>
    </row>
    <row r="194" spans="1:7">
      <c r="A194" s="285" t="s">
        <v>62</v>
      </c>
      <c r="B194" s="286">
        <f>'总表-数据收集'!AC22</f>
        <v>279</v>
      </c>
      <c r="C194" s="286"/>
      <c r="D194" s="286"/>
      <c r="E194" s="286"/>
      <c r="F194" s="286"/>
      <c r="G194" s="286"/>
    </row>
  </sheetData>
  <mergeCells count="68">
    <mergeCell ref="B3:C3"/>
    <mergeCell ref="A4:H4"/>
    <mergeCell ref="B11:G11"/>
    <mergeCell ref="B12:G12"/>
    <mergeCell ref="A15:G15"/>
    <mergeCell ref="A16:H16"/>
    <mergeCell ref="B23:G23"/>
    <mergeCell ref="B24:G24"/>
    <mergeCell ref="A25:G25"/>
    <mergeCell ref="A26:G26"/>
    <mergeCell ref="B33:G33"/>
    <mergeCell ref="B34:G34"/>
    <mergeCell ref="A36:G36"/>
    <mergeCell ref="A37:G37"/>
    <mergeCell ref="B44:G44"/>
    <mergeCell ref="B45:G45"/>
    <mergeCell ref="A46:G46"/>
    <mergeCell ref="A47:G47"/>
    <mergeCell ref="B54:G54"/>
    <mergeCell ref="B55:G55"/>
    <mergeCell ref="A56:G56"/>
    <mergeCell ref="A57:G57"/>
    <mergeCell ref="B64:G64"/>
    <mergeCell ref="B65:G65"/>
    <mergeCell ref="A66:G66"/>
    <mergeCell ref="A67:G67"/>
    <mergeCell ref="B74:G74"/>
    <mergeCell ref="B75:G75"/>
    <mergeCell ref="A76:G76"/>
    <mergeCell ref="A77:G77"/>
    <mergeCell ref="B84:G84"/>
    <mergeCell ref="B85:G85"/>
    <mergeCell ref="A86:G86"/>
    <mergeCell ref="A87:G87"/>
    <mergeCell ref="B94:G94"/>
    <mergeCell ref="B95:G95"/>
    <mergeCell ref="A96:G96"/>
    <mergeCell ref="A97:G97"/>
    <mergeCell ref="B104:G104"/>
    <mergeCell ref="B105:G105"/>
    <mergeCell ref="A107:G107"/>
    <mergeCell ref="B114:G114"/>
    <mergeCell ref="B115:G115"/>
    <mergeCell ref="A117:G117"/>
    <mergeCell ref="B124:G124"/>
    <mergeCell ref="B125:G125"/>
    <mergeCell ref="A127:G127"/>
    <mergeCell ref="B134:G134"/>
    <mergeCell ref="B135:G135"/>
    <mergeCell ref="A137:G137"/>
    <mergeCell ref="B144:G144"/>
    <mergeCell ref="B145:G145"/>
    <mergeCell ref="A147:G147"/>
    <mergeCell ref="B154:G154"/>
    <mergeCell ref="B155:G155"/>
    <mergeCell ref="A157:G157"/>
    <mergeCell ref="B164:G164"/>
    <mergeCell ref="B165:G165"/>
    <mergeCell ref="A167:G167"/>
    <mergeCell ref="B174:G174"/>
    <mergeCell ref="B175:G175"/>
    <mergeCell ref="A177:G177"/>
    <mergeCell ref="B184:G184"/>
    <mergeCell ref="B185:G185"/>
    <mergeCell ref="A186:G186"/>
    <mergeCell ref="B193:G193"/>
    <mergeCell ref="B194:G194"/>
    <mergeCell ref="A1:H2"/>
  </mergeCells>
  <conditionalFormatting sqref="E3">
    <cfRule type="dataBar" priority="7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{41fc169d-ca9f-4062-a6fc-7d6b3b18a47d}</x14:id>
        </ext>
      </extLst>
    </cfRule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{da7a410c-5e1c-4d1d-8570-0d62d1850113}</x14:id>
        </ext>
      </extLst>
    </cfRule>
  </conditionalFormatting>
  <conditionalFormatting sqref="F3:G3">
    <cfRule type="dataBar" priority="331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{5860e7c9-9e46-4971-abd5-34ce2d3f3ecb}</x14:id>
        </ext>
      </extLst>
    </cfRule>
    <cfRule type="dataBar" priority="3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{7b5c4c4f-b5eb-4569-a857-d9a5ef8be7a7}</x14:id>
        </ext>
      </extLst>
    </cfRule>
  </conditionalFormatting>
  <conditionalFormatting sqref="H8">
    <cfRule type="dataBar" priority="69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{f96fd46c-c21e-4708-891b-b2c49d86e289}</x14:id>
        </ext>
      </extLst>
    </cfRule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{72a081c9-fa1e-49d2-b975-7a5495870efb}</x14:id>
        </ext>
      </extLst>
    </cfRule>
  </conditionalFormatting>
  <conditionalFormatting sqref="H24">
    <cfRule type="dataBar" priority="67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{c63f03ee-8bc5-4f8b-9e12-fbb96ccb9a3f}</x14:id>
        </ext>
      </extLst>
    </cfRule>
    <cfRule type="dataBar" priority="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{cc1e36e1-b1c7-4a8f-8b3f-af95d916e3da}</x14:id>
        </ext>
      </extLst>
    </cfRule>
  </conditionalFormatting>
  <conditionalFormatting sqref="A26">
    <cfRule type="colorScale" priority="3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67">
    <cfRule type="colorScale" priority="3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6:E10">
    <cfRule type="dataBar" priority="91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{edfc9985-36f1-4e58-a9d6-7143e25443cc}</x14:id>
        </ext>
      </extLst>
    </cfRule>
    <cfRule type="dataBar" priority="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{650ea3e9-b1a7-4595-b35b-b16d1fb1f61a}</x14:id>
        </ext>
      </extLst>
    </cfRule>
  </conditionalFormatting>
  <conditionalFormatting sqref="E18:E22">
    <cfRule type="dataBar" priority="152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{b0e57c9e-d840-4611-954c-a1e90244fe80}</x14:id>
        </ext>
      </extLst>
    </cfRule>
    <cfRule type="dataBar" priority="1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{0ea71a79-bc00-4da9-a81f-59eb7430bddc}</x14:id>
        </ext>
      </extLst>
    </cfRule>
  </conditionalFormatting>
  <conditionalFormatting sqref="E28:E32">
    <cfRule type="dataBar" priority="150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{90c12902-db86-4fdd-804c-1f5d5bacfae6}</x14:id>
        </ext>
      </extLst>
    </cfRule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{1c8d53af-f999-4c0c-a8a2-29a1801dcd4b}</x14:id>
        </ext>
      </extLst>
    </cfRule>
  </conditionalFormatting>
  <conditionalFormatting sqref="E39:E43">
    <cfRule type="dataBar" priority="148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{120cd762-2bbb-4530-8aff-5aefc02483bd}</x14:id>
        </ext>
      </extLst>
    </cfRule>
    <cfRule type="dataBar" priority="1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{15efd447-a8a8-4fa4-97ab-cbdb404b2abc}</x14:id>
        </ext>
      </extLst>
    </cfRule>
  </conditionalFormatting>
  <conditionalFormatting sqref="E49:E53">
    <cfRule type="dataBar" priority="146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{a01b0ebb-0380-40dd-b4c1-17cf432b00f5}</x14:id>
        </ext>
      </extLst>
    </cfRule>
    <cfRule type="dataBar" priority="1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{a8a01b79-f2c1-4b86-a06d-5aa31c2a2d3e}</x14:id>
        </ext>
      </extLst>
    </cfRule>
  </conditionalFormatting>
  <conditionalFormatting sqref="E59:E63">
    <cfRule type="dataBar" priority="144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{d29e3e2b-f9b5-4dd1-9ec6-954c34b2b2d8}</x14:id>
        </ext>
      </extLst>
    </cfRule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{ec552bea-2716-4f27-afc7-2505d1f7856a}</x14:id>
        </ext>
      </extLst>
    </cfRule>
  </conditionalFormatting>
  <conditionalFormatting sqref="E69:E73">
    <cfRule type="dataBar" priority="142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{f609af54-075d-4bde-9b15-eda9f4fce6e4}</x14:id>
        </ext>
      </extLst>
    </cfRule>
    <cfRule type="dataBar" priority="1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{4c49f804-797e-4e95-80f5-e9d617026152}</x14:id>
        </ext>
      </extLst>
    </cfRule>
  </conditionalFormatting>
  <conditionalFormatting sqref="E79:E83">
    <cfRule type="dataBar" priority="140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{bac3c3cf-368f-40b1-9a29-cd6b86f00c93}</x14:id>
        </ext>
      </extLst>
    </cfRule>
    <cfRule type="dataBar" priority="1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{c8cfa9be-6a61-4b8a-8418-7f077b5df991}</x14:id>
        </ext>
      </extLst>
    </cfRule>
  </conditionalFormatting>
  <conditionalFormatting sqref="E89:E93">
    <cfRule type="dataBar" priority="136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{21cb3551-73fe-4c50-8cc3-02dcac8ca188}</x14:id>
        </ext>
      </extLst>
    </cfRule>
    <cfRule type="dataBar" priority="1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{14e40cba-d9a6-4410-a9de-4ae6cf5169ae}</x14:id>
        </ext>
      </extLst>
    </cfRule>
  </conditionalFormatting>
  <conditionalFormatting sqref="E99:E103">
    <cfRule type="dataBar" priority="6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{96e8bb43-f319-40fb-b608-075e578174ef}</x14:id>
        </ext>
      </extLst>
    </cfRule>
    <cfRule type="dataBar" priority="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{fdad7c7a-1fbc-4630-aeb6-34722cf78e25}</x14:id>
        </ext>
      </extLst>
    </cfRule>
  </conditionalFormatting>
  <conditionalFormatting sqref="E109:E113">
    <cfRule type="dataBar" priority="59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{a1dd0226-59a4-46c9-81c3-0e42dc8ce371}</x14:id>
        </ext>
      </extLst>
    </cfRule>
    <cfRule type="dataBar" priority="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{ac907d1c-6f43-455b-9e12-02fc13a9d98e}</x14:id>
        </ext>
      </extLst>
    </cfRule>
  </conditionalFormatting>
  <conditionalFormatting sqref="E119:E123">
    <cfRule type="dataBar" priority="53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{eb5cb62b-74b9-45d7-91f1-5dfc3cfa0bbd}</x14:id>
        </ext>
      </extLst>
    </cfRule>
    <cfRule type="dataBar" priority="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{fe9bb8c1-32a9-432a-91b7-25bac80c7ab6}</x14:id>
        </ext>
      </extLst>
    </cfRule>
  </conditionalFormatting>
  <conditionalFormatting sqref="E129:E133">
    <cfRule type="dataBar" priority="47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{10258184-8a2e-4147-b57a-52d1e227b9c4}</x14:id>
        </ext>
      </extLst>
    </cfRule>
    <cfRule type="dataBar" priority="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{b7ce741c-fc19-468f-9c3a-19d0028ed719}</x14:id>
        </ext>
      </extLst>
    </cfRule>
  </conditionalFormatting>
  <conditionalFormatting sqref="E139:E143">
    <cfRule type="dataBar" priority="23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{572bfdfd-4b88-4803-9c56-a7ec21fc170d}</x14:id>
        </ext>
      </extLst>
    </cfRule>
    <cfRule type="dataBar" priority="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{867ac192-3407-464a-af08-30ddd7803427}</x14:id>
        </ext>
      </extLst>
    </cfRule>
  </conditionalFormatting>
  <conditionalFormatting sqref="E149:E153">
    <cfRule type="dataBar" priority="3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{fbc3e244-0710-4c4a-9ce1-c3e17978013c}</x14:id>
        </ext>
      </extLst>
    </cfRule>
    <cfRule type="dataBar" priority="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{07c4a931-1e27-41ba-8c28-921224835121}</x14:id>
        </ext>
      </extLst>
    </cfRule>
  </conditionalFormatting>
  <conditionalFormatting sqref="E159:E163">
    <cfRule type="dataBar" priority="29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{a5f7d305-fd36-41a5-83e3-5a9d0b008132}</x14:id>
        </ext>
      </extLst>
    </cfRule>
    <cfRule type="dataBar" priority="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{36fa3b94-8b20-44d5-bde2-bf4af61ab3d8}</x14:id>
        </ext>
      </extLst>
    </cfRule>
  </conditionalFormatting>
  <conditionalFormatting sqref="E169:E173">
    <cfRule type="dataBar" priority="17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{ab93a1c4-6c5b-46fd-bec0-e317c5a06834}</x14:id>
        </ext>
      </extLst>
    </cfRule>
    <cfRule type="dataBar" priority="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{b882dd0a-d506-477a-a0d3-b18d7faed72c}</x14:id>
        </ext>
      </extLst>
    </cfRule>
  </conditionalFormatting>
  <conditionalFormatting sqref="E179:E183">
    <cfRule type="dataBar" priority="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{d32a5f34-4212-4fbc-be15-c502fdb5e8c7}</x14:id>
        </ext>
      </extLst>
    </cfRule>
    <cfRule type="dataBar" priority="11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{2a93e0cc-afc8-4b2b-a426-bc8e784abdc2}</x14:id>
        </ext>
      </extLst>
    </cfRule>
  </conditionalFormatting>
  <conditionalFormatting sqref="E188:E192">
    <cfRule type="dataBar" priority="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{fed14c16-9a5d-44d8-81d1-fc0ad72735b0}</x14:id>
        </ext>
      </extLst>
    </cfRule>
    <cfRule type="dataBar" priority="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{7a5af09d-ecac-4707-bc56-b2ca613e7558}</x14:id>
        </ext>
      </extLst>
    </cfRule>
  </conditionalFormatting>
  <conditionalFormatting sqref="F18:F22">
    <cfRule type="iconSet" priority="90">
      <iconSet iconSet="3Arrows">
        <cfvo type="percent" val="0"/>
        <cfvo type="num" val="0"/>
        <cfvo type="num" val="0"/>
      </iconSet>
    </cfRule>
  </conditionalFormatting>
  <conditionalFormatting sqref="F28:F32">
    <cfRule type="iconSet" priority="89">
      <iconSet iconSet="3Arrows">
        <cfvo type="percent" val="0"/>
        <cfvo type="num" val="0"/>
        <cfvo type="num" val="0"/>
      </iconSet>
    </cfRule>
  </conditionalFormatting>
  <conditionalFormatting sqref="F39:F43">
    <cfRule type="iconSet" priority="88">
      <iconSet iconSet="3Arrows">
        <cfvo type="percent" val="0"/>
        <cfvo type="num" val="0"/>
        <cfvo type="num" val="0"/>
      </iconSet>
    </cfRule>
  </conditionalFormatting>
  <conditionalFormatting sqref="F49:F53">
    <cfRule type="iconSet" priority="87">
      <iconSet iconSet="3Arrows">
        <cfvo type="percent" val="0"/>
        <cfvo type="num" val="0"/>
        <cfvo type="num" val="0"/>
      </iconSet>
    </cfRule>
  </conditionalFormatting>
  <conditionalFormatting sqref="F59:F63">
    <cfRule type="iconSet" priority="86">
      <iconSet iconSet="3Arrows">
        <cfvo type="percent" val="0"/>
        <cfvo type="num" val="0"/>
        <cfvo type="num" val="0"/>
      </iconSet>
    </cfRule>
  </conditionalFormatting>
  <conditionalFormatting sqref="F69:F73">
    <cfRule type="iconSet" priority="85">
      <iconSet iconSet="3Arrows">
        <cfvo type="percent" val="0"/>
        <cfvo type="num" val="0"/>
        <cfvo type="num" val="0"/>
      </iconSet>
    </cfRule>
  </conditionalFormatting>
  <conditionalFormatting sqref="F79:F83">
    <cfRule type="iconSet" priority="84">
      <iconSet iconSet="3Arrows">
        <cfvo type="percent" val="0"/>
        <cfvo type="num" val="0"/>
        <cfvo type="num" val="0"/>
      </iconSet>
    </cfRule>
  </conditionalFormatting>
  <conditionalFormatting sqref="F89:F93">
    <cfRule type="iconSet" priority="82">
      <iconSet iconSet="3Arrows">
        <cfvo type="percent" val="0"/>
        <cfvo type="num" val="0"/>
        <cfvo type="num" val="0" gte="0"/>
      </iconSet>
    </cfRule>
  </conditionalFormatting>
  <conditionalFormatting sqref="F99:F103">
    <cfRule type="iconSet" priority="61">
      <iconSet iconSet="3Arrows">
        <cfvo type="percent" val="0"/>
        <cfvo type="num" val="0"/>
        <cfvo type="num" val="0" gte="0"/>
      </iconSet>
    </cfRule>
  </conditionalFormatting>
  <conditionalFormatting sqref="F109:F113">
    <cfRule type="iconSet" priority="55">
      <iconSet iconSet="3Arrows">
        <cfvo type="percent" val="0"/>
        <cfvo type="num" val="0"/>
        <cfvo type="num" val="0" gte="0"/>
      </iconSet>
    </cfRule>
  </conditionalFormatting>
  <conditionalFormatting sqref="F119:F123">
    <cfRule type="iconSet" priority="49">
      <iconSet iconSet="3Arrows">
        <cfvo type="percent" val="0"/>
        <cfvo type="num" val="0"/>
        <cfvo type="num" val="0" gte="0"/>
      </iconSet>
    </cfRule>
  </conditionalFormatting>
  <conditionalFormatting sqref="F129:F133">
    <cfRule type="iconSet" priority="43">
      <iconSet iconSet="3Arrows">
        <cfvo type="percent" val="0"/>
        <cfvo type="num" val="0"/>
        <cfvo type="num" val="0" gte="0"/>
      </iconSet>
    </cfRule>
  </conditionalFormatting>
  <conditionalFormatting sqref="F139:F143">
    <cfRule type="iconSet" priority="19">
      <iconSet iconSet="3Arrows">
        <cfvo type="percent" val="0"/>
        <cfvo type="num" val="0"/>
        <cfvo type="num" val="0" gte="0"/>
      </iconSet>
    </cfRule>
  </conditionalFormatting>
  <conditionalFormatting sqref="F149:F153">
    <cfRule type="iconSet" priority="31">
      <iconSet iconSet="3Arrows">
        <cfvo type="percent" val="0"/>
        <cfvo type="num" val="0"/>
        <cfvo type="num" val="0" gte="0"/>
      </iconSet>
    </cfRule>
  </conditionalFormatting>
  <conditionalFormatting sqref="F159:F163">
    <cfRule type="iconSet" priority="25">
      <iconSet iconSet="3Arrows">
        <cfvo type="percent" val="0"/>
        <cfvo type="num" val="0"/>
        <cfvo type="num" val="0" gte="0"/>
      </iconSet>
    </cfRule>
  </conditionalFormatting>
  <conditionalFormatting sqref="F169:F173">
    <cfRule type="iconSet" priority="13">
      <iconSet iconSet="3Arrows">
        <cfvo type="percent" val="0"/>
        <cfvo type="num" val="0"/>
        <cfvo type="num" val="0" gte="0"/>
      </iconSet>
    </cfRule>
  </conditionalFormatting>
  <conditionalFormatting sqref="F179:F183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F188:F192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G18:G22">
    <cfRule type="iconSet" priority="129">
      <iconSet iconSet="3Arrows">
        <cfvo type="percent" val="0"/>
        <cfvo type="num" val="0"/>
        <cfvo type="num" val="0"/>
      </iconSet>
    </cfRule>
    <cfRule type="dataBar" priority="130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{97917e07-e562-4d2d-94dc-52407759108b}</x14:id>
        </ext>
      </extLst>
    </cfRule>
    <cfRule type="dataBar" priority="1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{245b10cc-509f-4375-8d57-a6e72d1844b7}</x14:id>
        </ext>
      </extLst>
    </cfRule>
  </conditionalFormatting>
  <conditionalFormatting sqref="G28:G32">
    <cfRule type="iconSet" priority="125">
      <iconSet iconSet="3Arrows">
        <cfvo type="percent" val="0"/>
        <cfvo type="num" val="0"/>
        <cfvo type="num" val="0"/>
      </iconSet>
    </cfRule>
    <cfRule type="dataBar" priority="126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{7fbbf7ae-3cbd-46e4-a3a4-c2fc00f51b58}</x14:id>
        </ext>
      </extLst>
    </cfRule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{54337222-2310-4979-9fd4-7b639f938cf9}</x14:id>
        </ext>
      </extLst>
    </cfRule>
  </conditionalFormatting>
  <conditionalFormatting sqref="G39:G43">
    <cfRule type="iconSet" priority="121">
      <iconSet iconSet="3Arrows">
        <cfvo type="percent" val="0"/>
        <cfvo type="num" val="0"/>
        <cfvo type="num" val="0"/>
      </iconSet>
    </cfRule>
    <cfRule type="dataBar" priority="122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{51ed08d6-f831-435a-b227-a5166acc6cfd}</x14:id>
        </ext>
      </extLst>
    </cfRule>
    <cfRule type="dataBar" priority="1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{4b361498-c23b-4e1e-8750-66e4fb88964a}</x14:id>
        </ext>
      </extLst>
    </cfRule>
  </conditionalFormatting>
  <conditionalFormatting sqref="G49:G53">
    <cfRule type="iconSet" priority="117">
      <iconSet iconSet="3Arrows">
        <cfvo type="percent" val="0"/>
        <cfvo type="num" val="0"/>
        <cfvo type="num" val="0"/>
      </iconSet>
    </cfRule>
    <cfRule type="dataBar" priority="118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{8b69de7a-9106-42b6-90f2-740733a0b755}</x14:id>
        </ext>
      </extLst>
    </cfRule>
    <cfRule type="dataBar" priority="1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{adcb6457-7e5c-4cae-b197-5100ac36a89c}</x14:id>
        </ext>
      </extLst>
    </cfRule>
  </conditionalFormatting>
  <conditionalFormatting sqref="G59:G63">
    <cfRule type="iconSet" priority="113">
      <iconSet iconSet="3Arrows">
        <cfvo type="percent" val="0"/>
        <cfvo type="num" val="0"/>
        <cfvo type="num" val="0"/>
      </iconSet>
    </cfRule>
    <cfRule type="dataBar" priority="114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{2104b9bf-dbb8-444c-a161-0e26717cc542}</x14:id>
        </ext>
      </extLst>
    </cfRule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{ce5b26dd-83c0-4dd1-b40f-e2fd6fd92927}</x14:id>
        </ext>
      </extLst>
    </cfRule>
  </conditionalFormatting>
  <conditionalFormatting sqref="G69:G73">
    <cfRule type="iconSet" priority="109">
      <iconSet iconSet="3Arrows">
        <cfvo type="percent" val="0"/>
        <cfvo type="num" val="0"/>
        <cfvo type="num" val="0"/>
      </iconSet>
    </cfRule>
    <cfRule type="dataBar" priority="110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{ec5adb64-4388-4fa4-b6aa-61a1aae259fc}</x14:id>
        </ext>
      </extLst>
    </cfRule>
    <cfRule type="dataBar" priority="1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{57a6e980-1d59-49d8-b443-bd744ec54ef0}</x14:id>
        </ext>
      </extLst>
    </cfRule>
  </conditionalFormatting>
  <conditionalFormatting sqref="G79:G83">
    <cfRule type="iconSet" priority="105">
      <iconSet iconSet="3Arrows">
        <cfvo type="percent" val="0"/>
        <cfvo type="num" val="0"/>
        <cfvo type="num" val="0"/>
      </iconSet>
    </cfRule>
    <cfRule type="dataBar" priority="106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{f715e267-5e40-4a55-9fd4-f1a0a131353d}</x14:id>
        </ext>
      </extLst>
    </cfRule>
    <cfRule type="dataBar" priority="1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{609959b5-a4d1-4c0f-ba93-448613b56c18}</x14:id>
        </ext>
      </extLst>
    </cfRule>
  </conditionalFormatting>
  <conditionalFormatting sqref="G89:G93">
    <cfRule type="iconSet" priority="97">
      <iconSet iconSet="3Arrows">
        <cfvo type="percent" val="0"/>
        <cfvo type="num" val="0"/>
        <cfvo type="num" val="0"/>
      </iconSet>
    </cfRule>
    <cfRule type="dataBar" priority="98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{5771dc70-3693-428b-b4ae-56979bfd262c}</x14:id>
        </ext>
      </extLst>
    </cfRule>
    <cfRule type="dataBar" priority="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{36c1cd58-6413-4759-b846-50544b388269}</x14:id>
        </ext>
      </extLst>
    </cfRule>
  </conditionalFormatting>
  <conditionalFormatting sqref="G99:G103">
    <cfRule type="iconSet" priority="62">
      <iconSet iconSet="3Arrows">
        <cfvo type="percent" val="0"/>
        <cfvo type="num" val="0"/>
        <cfvo type="num" val="0"/>
      </iconSet>
    </cfRule>
    <cfRule type="dataBar" priority="63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{06b7d659-c06f-4e94-8654-97fa7caa1a7a}</x14:id>
        </ext>
      </extLst>
    </cfRule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{9cc23c14-f54a-4934-b1f0-f8aa6bf4a32a}</x14:id>
        </ext>
      </extLst>
    </cfRule>
  </conditionalFormatting>
  <conditionalFormatting sqref="G109:G113">
    <cfRule type="iconSet" priority="56">
      <iconSet iconSet="3Arrows">
        <cfvo type="percent" val="0"/>
        <cfvo type="num" val="0"/>
        <cfvo type="num" val="0"/>
      </iconSet>
    </cfRule>
    <cfRule type="dataBar" priority="57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{fcb3b283-be98-4eb4-8b8b-e13afa1af7ba}</x14:id>
        </ext>
      </extLst>
    </cfRule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{0765b386-bb6c-497b-9268-74ba257584ea}</x14:id>
        </ext>
      </extLst>
    </cfRule>
  </conditionalFormatting>
  <conditionalFormatting sqref="G119:G123">
    <cfRule type="iconSet" priority="50">
      <iconSet iconSet="3Arrows">
        <cfvo type="percent" val="0"/>
        <cfvo type="num" val="0"/>
        <cfvo type="num" val="0"/>
      </iconSet>
    </cfRule>
    <cfRule type="dataBar" priority="51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{2b261df9-8393-473f-8885-3c88e11b40f8}</x14:id>
        </ext>
      </extLst>
    </cfRule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{0ff085b7-34c4-4b57-822a-265e72a2c128}</x14:id>
        </ext>
      </extLst>
    </cfRule>
  </conditionalFormatting>
  <conditionalFormatting sqref="G129:G133">
    <cfRule type="iconSet" priority="44">
      <iconSet iconSet="3Arrows">
        <cfvo type="percent" val="0"/>
        <cfvo type="num" val="0"/>
        <cfvo type="num" val="0"/>
      </iconSet>
    </cfRule>
    <cfRule type="dataBar" priority="4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{3febbcbe-3180-4bf1-91fe-d6c3e131bc05}</x14:id>
        </ext>
      </extLst>
    </cfRule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{9942e0f3-7993-4e4e-a0c5-4f35973f693f}</x14:id>
        </ext>
      </extLst>
    </cfRule>
  </conditionalFormatting>
  <conditionalFormatting sqref="G139:G143">
    <cfRule type="iconSet" priority="20">
      <iconSet iconSet="3Arrows">
        <cfvo type="percent" val="0"/>
        <cfvo type="num" val="0"/>
        <cfvo type="num" val="0"/>
      </iconSet>
    </cfRule>
    <cfRule type="dataBar" priority="21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{56702464-a53f-4c9d-8a4a-6fd8f736242a}</x14:id>
        </ext>
      </extLst>
    </cfRule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{d1763189-fd1b-4260-87d0-eb1c08a6d012}</x14:id>
        </ext>
      </extLst>
    </cfRule>
  </conditionalFormatting>
  <conditionalFormatting sqref="G149:G153">
    <cfRule type="iconSet" priority="32">
      <iconSet iconSet="3Arrows">
        <cfvo type="percent" val="0"/>
        <cfvo type="num" val="0"/>
        <cfvo type="num" val="0"/>
      </iconSet>
    </cfRule>
    <cfRule type="dataBar" priority="33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{27bcf9d2-a28d-4223-a81c-823627c10440}</x14:id>
        </ext>
      </extLst>
    </cfRule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{5e144749-b683-4272-b467-c0035ec589a7}</x14:id>
        </ext>
      </extLst>
    </cfRule>
  </conditionalFormatting>
  <conditionalFormatting sqref="G159:G163">
    <cfRule type="iconSet" priority="26">
      <iconSet iconSet="3Arrows">
        <cfvo type="percent" val="0"/>
        <cfvo type="num" val="0"/>
        <cfvo type="num" val="0"/>
      </iconSet>
    </cfRule>
    <cfRule type="dataBar" priority="27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{4b15ef66-c400-4cc6-83a3-db098e759076}</x14:id>
        </ext>
      </extLst>
    </cfRule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{d7f6c253-0fcc-483c-a96f-336560a7ed10}</x14:id>
        </ext>
      </extLst>
    </cfRule>
  </conditionalFormatting>
  <conditionalFormatting sqref="G169:G173">
    <cfRule type="iconSet" priority="14">
      <iconSet iconSet="3Arrows">
        <cfvo type="percent" val="0"/>
        <cfvo type="num" val="0"/>
        <cfvo type="num" val="0"/>
      </iconSet>
    </cfRule>
    <cfRule type="dataBar" priority="1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{5227aa64-0904-4b2b-ac12-7fbc5c626633}</x14:id>
        </ext>
      </extLst>
    </cfRule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{f006dc16-b3a2-4848-908c-21f94d15d96b}</x14:id>
        </ext>
      </extLst>
    </cfRule>
  </conditionalFormatting>
  <conditionalFormatting sqref="G179:G183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{29da23a8-e45e-41e7-9952-16728a1271eb}</x14:id>
        </ext>
      </extLst>
    </cfRule>
    <cfRule type="dataBar" priority="9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{b13c772c-2bed-4920-b777-97064e997041}</x14:id>
        </ext>
      </extLst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G188:G192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{af9bc84c-a499-4075-a299-4852dac02ef0}</x14:id>
        </ext>
      </extLst>
    </cfRule>
    <cfRule type="dataBar" priority="3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{fe415a7b-1f9c-4b22-bc89-c787a19159cc}</x14:id>
        </ext>
      </extLst>
    </cfRule>
    <cfRule type="iconSet" priority="2">
      <iconSet iconSet="3Arrows">
        <cfvo type="percent" val="0"/>
        <cfvo type="num" val="0"/>
        <cfvo type="num" val="0"/>
      </iconSet>
    </cfRule>
  </conditionalFormatting>
  <conditionalFormatting sqref="F6:G10">
    <cfRule type="iconSet" priority="135">
      <iconSet iconSet="3Arrows">
        <cfvo type="percent" val="0"/>
        <cfvo type="num" val="0"/>
        <cfvo type="num" val="0"/>
      </iconSet>
    </cfRule>
  </conditionalFormatting>
  <conditionalFormatting sqref="H6:H7 H9:H10">
    <cfRule type="dataBar" priority="77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{7f1b42d8-5419-4270-bc38-2f6ddf24d78c}</x14:id>
        </ext>
      </extLst>
    </cfRule>
    <cfRule type="dataBar" priority="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{a78a9243-6091-4628-b1d2-9f026d2783e7}</x14:id>
        </ext>
      </extLst>
    </cfRule>
  </conditionalFormatting>
  <conditionalFormatting sqref="H22:H23 H25:H26">
    <cfRule type="iconSet" priority="79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fc169d-ca9f-4062-a6fc-7d6b3b18a47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7a410c-5e1c-4d1d-8570-0d62d185011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5860e7c9-9e46-4971-abd5-34ce2d3f3ec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5c4c4f-b5eb-4569-a857-d9a5ef8be7a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F3:G3</xm:sqref>
        </x14:conditionalFormatting>
        <x14:conditionalFormatting xmlns:xm="http://schemas.microsoft.com/office/excel/2006/main">
          <x14:cfRule type="dataBar" id="{f96fd46c-c21e-4708-891b-b2c49d86e28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a081c9-fa1e-49d2-b975-7a5495870ef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c63f03ee-8bc5-4f8b-9e12-fbb96ccb9a3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1e36e1-b1c7-4a8f-8b3f-af95d916e3d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edfc9985-36f1-4e58-a9d6-7143e25443c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0ea3e9-b1a7-4595-b35b-b16d1fb1f61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E6:E10</xm:sqref>
        </x14:conditionalFormatting>
        <x14:conditionalFormatting xmlns:xm="http://schemas.microsoft.com/office/excel/2006/main">
          <x14:cfRule type="dataBar" id="{b0e57c9e-d840-4611-954c-a1e90244fe8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a71a79-bc00-4da9-a81f-59eb7430bdd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E18:E22</xm:sqref>
        </x14:conditionalFormatting>
        <x14:conditionalFormatting xmlns:xm="http://schemas.microsoft.com/office/excel/2006/main">
          <x14:cfRule type="dataBar" id="{90c12902-db86-4fdd-804c-1f5d5bacfa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8d53af-f999-4c0c-a8a2-29a1801dcd4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E28:E32</xm:sqref>
        </x14:conditionalFormatting>
        <x14:conditionalFormatting xmlns:xm="http://schemas.microsoft.com/office/excel/2006/main">
          <x14:cfRule type="dataBar" id="{120cd762-2bbb-4530-8aff-5aefc02483b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efd447-a8a8-4fa4-97ab-cbdb404b2ab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E39:E43</xm:sqref>
        </x14:conditionalFormatting>
        <x14:conditionalFormatting xmlns:xm="http://schemas.microsoft.com/office/excel/2006/main">
          <x14:cfRule type="dataBar" id="{a01b0ebb-0380-40dd-b4c1-17cf432b00f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a01b79-f2c1-4b86-a06d-5aa31c2a2d3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E49:E53</xm:sqref>
        </x14:conditionalFormatting>
        <x14:conditionalFormatting xmlns:xm="http://schemas.microsoft.com/office/excel/2006/main">
          <x14:cfRule type="dataBar" id="{d29e3e2b-f9b5-4dd1-9ec6-954c34b2b2d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552bea-2716-4f27-afc7-2505d1f7856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E59:E63</xm:sqref>
        </x14:conditionalFormatting>
        <x14:conditionalFormatting xmlns:xm="http://schemas.microsoft.com/office/excel/2006/main">
          <x14:cfRule type="dataBar" id="{f609af54-075d-4bde-9b15-eda9f4fce6e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49f804-797e-4e95-80f5-e9d61702615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E69:E73</xm:sqref>
        </x14:conditionalFormatting>
        <x14:conditionalFormatting xmlns:xm="http://schemas.microsoft.com/office/excel/2006/main">
          <x14:cfRule type="dataBar" id="{bac3c3cf-368f-40b1-9a29-cd6b86f00c9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cfa9be-6a61-4b8a-8418-7f077b5df99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E79:E83</xm:sqref>
        </x14:conditionalFormatting>
        <x14:conditionalFormatting xmlns:xm="http://schemas.microsoft.com/office/excel/2006/main">
          <x14:cfRule type="dataBar" id="{21cb3551-73fe-4c50-8cc3-02dcac8ca18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e40cba-d9a6-4410-a9de-4ae6cf5169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E89:E93</xm:sqref>
        </x14:conditionalFormatting>
        <x14:conditionalFormatting xmlns:xm="http://schemas.microsoft.com/office/excel/2006/main">
          <x14:cfRule type="dataBar" id="{96e8bb43-f319-40fb-b608-075e578174e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ad7c7a-1fbc-4630-aeb6-34722cf78e2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E99:E103</xm:sqref>
        </x14:conditionalFormatting>
        <x14:conditionalFormatting xmlns:xm="http://schemas.microsoft.com/office/excel/2006/main">
          <x14:cfRule type="dataBar" id="{a1dd0226-59a4-46c9-81c3-0e42dc8ce37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907d1c-6f43-455b-9e12-02fc13a9d98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E109:E113</xm:sqref>
        </x14:conditionalFormatting>
        <x14:conditionalFormatting xmlns:xm="http://schemas.microsoft.com/office/excel/2006/main">
          <x14:cfRule type="dataBar" id="{eb5cb62b-74b9-45d7-91f1-5dfc3cfa0bb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9bb8c1-32a9-432a-91b7-25bac80c7ab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E119:E123</xm:sqref>
        </x14:conditionalFormatting>
        <x14:conditionalFormatting xmlns:xm="http://schemas.microsoft.com/office/excel/2006/main">
          <x14:cfRule type="dataBar" id="{10258184-8a2e-4147-b57a-52d1e227b9c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ce741c-fc19-468f-9c3a-19d0028ed71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E129:E133</xm:sqref>
        </x14:conditionalFormatting>
        <x14:conditionalFormatting xmlns:xm="http://schemas.microsoft.com/office/excel/2006/main">
          <x14:cfRule type="dataBar" id="{572bfdfd-4b88-4803-9c56-a7ec21fc17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7ac192-3407-464a-af08-30ddd780342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E139:E143</xm:sqref>
        </x14:conditionalFormatting>
        <x14:conditionalFormatting xmlns:xm="http://schemas.microsoft.com/office/excel/2006/main">
          <x14:cfRule type="dataBar" id="{fbc3e244-0710-4c4a-9ce1-c3e17978013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c4a931-1e27-41ba-8c28-92122483512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E149:E153</xm:sqref>
        </x14:conditionalFormatting>
        <x14:conditionalFormatting xmlns:xm="http://schemas.microsoft.com/office/excel/2006/main">
          <x14:cfRule type="dataBar" id="{a5f7d305-fd36-41a5-83e3-5a9d0b00813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fa3b94-8b20-44d5-bde2-bf4af61ab3d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E159:E163</xm:sqref>
        </x14:conditionalFormatting>
        <x14:conditionalFormatting xmlns:xm="http://schemas.microsoft.com/office/excel/2006/main">
          <x14:cfRule type="dataBar" id="{ab93a1c4-6c5b-46fd-bec0-e317c5a0683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82dd0a-d506-477a-a0d3-b18d7faed72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E169:E173</xm:sqref>
        </x14:conditionalFormatting>
        <x14:conditionalFormatting xmlns:xm="http://schemas.microsoft.com/office/excel/2006/main">
          <x14:cfRule type="dataBar" id="{d32a5f34-4212-4fbc-be15-c502fdb5e8c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93e0cc-afc8-4b2b-a426-bc8e784abdc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E179:E183</xm:sqref>
        </x14:conditionalFormatting>
        <x14:conditionalFormatting xmlns:xm="http://schemas.microsoft.com/office/excel/2006/main">
          <x14:cfRule type="dataBar" id="{fed14c16-9a5d-44d8-81d1-fc0ad72735b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5af09d-ecac-4707-bc56-b2ca613e755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E188:E192</xm:sqref>
        </x14:conditionalFormatting>
        <x14:conditionalFormatting xmlns:xm="http://schemas.microsoft.com/office/excel/2006/main">
          <x14:cfRule type="dataBar" id="{97917e07-e562-4d2d-94dc-52407759108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5b10cc-509f-4375-8d57-a6e72d1844b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G18:G22</xm:sqref>
        </x14:conditionalFormatting>
        <x14:conditionalFormatting xmlns:xm="http://schemas.microsoft.com/office/excel/2006/main">
          <x14:cfRule type="dataBar" id="{7fbbf7ae-3cbd-46e4-a3a4-c2fc00f51b5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337222-2310-4979-9fd4-7b639f938cf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G28:G32</xm:sqref>
        </x14:conditionalFormatting>
        <x14:conditionalFormatting xmlns:xm="http://schemas.microsoft.com/office/excel/2006/main">
          <x14:cfRule type="dataBar" id="{51ed08d6-f831-435a-b227-a5166acc6cf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361498-c23b-4e1e-8750-66e4fb88964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G39:G43</xm:sqref>
        </x14:conditionalFormatting>
        <x14:conditionalFormatting xmlns:xm="http://schemas.microsoft.com/office/excel/2006/main">
          <x14:cfRule type="dataBar" id="{8b69de7a-9106-42b6-90f2-740733a0b75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cb6457-7e5c-4cae-b197-5100ac36a89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G49:G53</xm:sqref>
        </x14:conditionalFormatting>
        <x14:conditionalFormatting xmlns:xm="http://schemas.microsoft.com/office/excel/2006/main">
          <x14:cfRule type="dataBar" id="{2104b9bf-dbb8-444c-a161-0e26717cc54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5b26dd-83c0-4dd1-b40f-e2fd6fd9292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G59:G63</xm:sqref>
        </x14:conditionalFormatting>
        <x14:conditionalFormatting xmlns:xm="http://schemas.microsoft.com/office/excel/2006/main">
          <x14:cfRule type="dataBar" id="{ec5adb64-4388-4fa4-b6aa-61a1aae259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a6e980-1d59-49d8-b443-bd744ec54ef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G69:G73</xm:sqref>
        </x14:conditionalFormatting>
        <x14:conditionalFormatting xmlns:xm="http://schemas.microsoft.com/office/excel/2006/main">
          <x14:cfRule type="dataBar" id="{f715e267-5e40-4a55-9fd4-f1a0a131353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9959b5-a4d1-4c0f-ba93-448613b56c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G79:G83</xm:sqref>
        </x14:conditionalFormatting>
        <x14:conditionalFormatting xmlns:xm="http://schemas.microsoft.com/office/excel/2006/main">
          <x14:cfRule type="dataBar" id="{5771dc70-3693-428b-b4ae-56979bfd262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c1cd58-6413-4759-b846-50544b38826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G89:G93</xm:sqref>
        </x14:conditionalFormatting>
        <x14:conditionalFormatting xmlns:xm="http://schemas.microsoft.com/office/excel/2006/main">
          <x14:cfRule type="dataBar" id="{06b7d659-c06f-4e94-8654-97fa7caa1a7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c23c14-f54a-4934-b1f0-f8aa6bf4a32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G99:G103</xm:sqref>
        </x14:conditionalFormatting>
        <x14:conditionalFormatting xmlns:xm="http://schemas.microsoft.com/office/excel/2006/main">
          <x14:cfRule type="dataBar" id="{fcb3b283-be98-4eb4-8b8b-e13afa1af7b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65b386-bb6c-497b-9268-74ba257584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G109:G113</xm:sqref>
        </x14:conditionalFormatting>
        <x14:conditionalFormatting xmlns:xm="http://schemas.microsoft.com/office/excel/2006/main">
          <x14:cfRule type="dataBar" id="{2b261df9-8393-473f-8885-3c88e11b40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f085b7-34c4-4b57-822a-265e72a2c12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G119:G123</xm:sqref>
        </x14:conditionalFormatting>
        <x14:conditionalFormatting xmlns:xm="http://schemas.microsoft.com/office/excel/2006/main">
          <x14:cfRule type="dataBar" id="{3febbcbe-3180-4bf1-91fe-d6c3e131bc0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42e0f3-7993-4e4e-a0c5-4f35973f693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G129:G133</xm:sqref>
        </x14:conditionalFormatting>
        <x14:conditionalFormatting xmlns:xm="http://schemas.microsoft.com/office/excel/2006/main">
          <x14:cfRule type="dataBar" id="{56702464-a53f-4c9d-8a4a-6fd8f736242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763189-fd1b-4260-87d0-eb1c08a6d0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G139:G143</xm:sqref>
        </x14:conditionalFormatting>
        <x14:conditionalFormatting xmlns:xm="http://schemas.microsoft.com/office/excel/2006/main">
          <x14:cfRule type="dataBar" id="{27bcf9d2-a28d-4223-a81c-823627c1044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144749-b683-4272-b467-c0035ec589a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G149:G153</xm:sqref>
        </x14:conditionalFormatting>
        <x14:conditionalFormatting xmlns:xm="http://schemas.microsoft.com/office/excel/2006/main">
          <x14:cfRule type="dataBar" id="{4b15ef66-c400-4cc6-83a3-db098e75907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f6c253-0fcc-483c-a96f-336560a7ed1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G159:G163</xm:sqref>
        </x14:conditionalFormatting>
        <x14:conditionalFormatting xmlns:xm="http://schemas.microsoft.com/office/excel/2006/main">
          <x14:cfRule type="dataBar" id="{5227aa64-0904-4b2b-ac12-7fbc5c62663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06dc16-b3a2-4848-908c-21f94d15d96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G169:G173</xm:sqref>
        </x14:conditionalFormatting>
        <x14:conditionalFormatting xmlns:xm="http://schemas.microsoft.com/office/excel/2006/main">
          <x14:cfRule type="dataBar" id="{29da23a8-e45e-41e7-9952-16728a1271e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3c772c-2bed-4920-b777-97064e99704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G179:G183</xm:sqref>
        </x14:conditionalFormatting>
        <x14:conditionalFormatting xmlns:xm="http://schemas.microsoft.com/office/excel/2006/main">
          <x14:cfRule type="dataBar" id="{af9bc84c-a499-4075-a299-4852dac02ef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415a7b-1f9c-4b22-bc89-c787a19159c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G188:G192</xm:sqref>
        </x14:conditionalFormatting>
        <x14:conditionalFormatting xmlns:xm="http://schemas.microsoft.com/office/excel/2006/main">
          <x14:cfRule type="dataBar" id="{7f1b42d8-5419-4270-bc38-2f6ddf24d78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8a9243-6091-4628-b1d2-9f026d2783e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H6:H7 H9:H10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核心指标进度表!L4:M4</xm:f>
              <xm:sqref>H8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H24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核心指标进度表!L5:M5</xm:f>
              <xm:sqref>H34</xm:sqref>
            </x14:sparkline>
            <x14:sparkline>
              <xm:f>核心指标进度表!L6:M6</xm:f>
              <xm:sqref>H36</xm:sqref>
            </x14:sparkline>
            <x14:sparkline>
              <xm:f>核心指标进度表!L7:M7</xm:f>
              <xm:sqref>H37</xm:sqref>
            </x14:sparkline>
            <x14:sparkline>
              <xm:f>核心指标进度表!L8:M8</xm:f>
              <xm:sqref>H38</xm:sqref>
            </x14:sparkline>
            <x14:sparkline>
              <xm:f>核心指标进度表!L9:M9</xm:f>
              <xm:sqref>H39</xm:sqref>
            </x14:sparkline>
            <x14:sparkline>
              <xm:f>核心指标进度表!L6:M6</xm:f>
              <xm:sqref>H35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核心指标进度表!L6:M6</xm:f>
              <xm:sqref>H49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核心指标进度表!L7:M7</xm:f>
              <xm:sqref>H59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核心指标进度表!L8:M8</xm:f>
              <xm:sqref>H69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核心指标进度表!L9:M9</xm:f>
              <xm:sqref>H79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核心指标进度表!L10:M10</xm:f>
              <xm:sqref>H89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核心指标进度表!L14:M14</xm:f>
              <xm:sqref>H99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核心指标进度表!L23:M23</xm:f>
              <xm:sqref>H9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sqref>H25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核心指标进度表!L24:M24</xm:f>
              <xm:sqref>H40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核心指标进度表!L25:M25</xm:f>
              <xm:sqref>H50</xm:sqref>
            </x14:sparkline>
          </x14:sparklines>
        </x14:sparklineGroup>
        <x14:sparklineGroup type="line" displayEmptyCellsAs="gap" first="1" last="1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核心指标进度表!L26:M26</xm:f>
              <xm:sqref>H60</xm:sqref>
            </x14:sparkline>
          </x14:sparklines>
        </x14:sparklineGroup>
        <x14:sparklineGroup type="line" displayEmptyCellsAs="gap" first="1" last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核心指标进度表!L27:M27</xm:f>
              <xm:sqref>H70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核心指标进度表!L28:M28</xm:f>
              <xm:sqref>H80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核心指标进度表!L29:M29</xm:f>
              <xm:sqref>H90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核心指标进度表!L31:M31</xm:f>
              <xm:sqref>H100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核心指标进度表!L41:M41</xm:f>
              <xm:sqref>H10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sqref>H26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核心指标进度表!L42:M42</xm:f>
              <xm:sqref>H41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核心指标进度表!L43:M43</xm:f>
              <xm:sqref>H51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核心指标进度表!L44:M44</xm:f>
              <xm:sqref>H61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核心指标进度表!L45:M45</xm:f>
              <xm:sqref>H71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核心指标进度表!L46:M46</xm:f>
              <xm:sqref>H81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核心指标进度表!L47:M47</xm:f>
              <xm:sqref>H91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核心指标进度表!L49:M49</xm:f>
              <xm:sqref>H101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核心指标进度表!L28:M28</xm:f>
              <xm:sqref>H109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核心指标进度表!L46:M46</xm:f>
              <xm:sqref>H110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核心指标进度表!L59:M59</xm:f>
              <xm:sqref>H111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核心指标进度表!L43:M43</xm:f>
              <xm:sqref>H119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核心指标进度表!L56:M56</xm:f>
              <xm:sqref>H120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核心指标进度表!L69:M69</xm:f>
              <xm:sqref>H121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核心指标进度表!L53:M53</xm:f>
              <xm:sqref>H129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核心指标进度表!L66:M66</xm:f>
              <xm:sqref>H130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核心指标进度表!L79:M79</xm:f>
              <xm:sqref>H131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核心指标进度表!L63:M63</xm:f>
              <xm:sqref>H138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核心指标进度表!L76:M76</xm:f>
              <xm:sqref>H139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核心指标进度表!L89:M89</xm:f>
              <xm:sqref>H140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核心指标进度表!L84:M84</xm:f>
              <xm:sqref>H159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核心指标进度表!L97:M97</xm:f>
              <xm:sqref>H160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核心指标进度表!L110:M110</xm:f>
              <xm:sqref>H161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核心指标进度表!L94:M94</xm:f>
              <xm:sqref>H169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核心指标进度表!L107:M107</xm:f>
              <xm:sqref>H170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核心指标进度表!L120:M120</xm:f>
              <xm:sqref>H171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核心指标进度表!L73:M73</xm:f>
              <xm:sqref>H149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核心指标进度表!L87:M87</xm:f>
              <xm:sqref>H150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核心指标进度表!L100:M100</xm:f>
              <xm:sqref>H151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核心指标进度表!L104:M104</xm:f>
              <xm:sqref>H179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核心指标进度表!L117:M117</xm:f>
              <xm:sqref>H180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核心指标进度表!L130:M130</xm:f>
              <xm:sqref>H181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Z31"/>
  <sheetViews>
    <sheetView tabSelected="1" zoomScale="40" zoomScaleNormal="40" workbookViewId="0">
      <pane xSplit="2" ySplit="4" topLeftCell="C5" activePane="bottomRight" state="frozen"/>
      <selection/>
      <selection pane="topRight"/>
      <selection pane="bottomLeft"/>
      <selection pane="bottomRight" activeCell="FZ12" sqref="FZ12:GZ12"/>
    </sheetView>
  </sheetViews>
  <sheetFormatPr defaultColWidth="8.83333333333333" defaultRowHeight="16.5"/>
  <cols>
    <col min="1" max="1" width="5.33333333333333" style="103" customWidth="1"/>
    <col min="2" max="2" width="14.1666666666667" style="104" customWidth="1"/>
    <col min="3" max="5" width="10.6666666666667" style="103" customWidth="1"/>
    <col min="6" max="6" width="8.33333333333333" style="103" customWidth="1"/>
    <col min="7" max="7" width="8.66666666666667" style="103" customWidth="1"/>
    <col min="8" max="8" width="8.41666666666667" style="103" customWidth="1"/>
    <col min="9" max="14" width="7.83333333333333" style="103" customWidth="1"/>
    <col min="15" max="15" width="12.6666666666667" style="105" customWidth="1"/>
    <col min="16" max="21" width="7.83333333333333" style="103" customWidth="1"/>
    <col min="22" max="22" width="8.125" style="103" customWidth="1"/>
    <col min="23" max="23" width="7.83333333333333" style="103" customWidth="1"/>
    <col min="24" max="24" width="15" style="103" customWidth="1"/>
    <col min="25" max="25" width="9" style="103" customWidth="1"/>
    <col min="26" max="26" width="13.5" style="103" customWidth="1"/>
    <col min="27" max="27" width="7.83333333333333" style="103" customWidth="1"/>
    <col min="28" max="28" width="14.5" style="103" customWidth="1"/>
    <col min="29" max="29" width="11.6666666666667" style="103" customWidth="1"/>
    <col min="30" max="30" width="13.8833333333333" style="103" customWidth="1"/>
    <col min="31" max="31" width="11" style="103" customWidth="1"/>
    <col min="32" max="32" width="10" style="103" customWidth="1"/>
    <col min="33" max="35" width="7.83333333333333" style="103" customWidth="1"/>
    <col min="36" max="36" width="7.83333333333333" style="106" customWidth="1"/>
    <col min="37" max="41" width="7.83333333333333" style="103" customWidth="1"/>
    <col min="42" max="42" width="12.4916666666667" style="103" customWidth="1"/>
    <col min="43" max="48" width="7.83333333333333" style="103" customWidth="1"/>
    <col min="49" max="49" width="12.6666666666667" style="103" customWidth="1"/>
    <col min="50" max="50" width="8.33333333333333" style="103" customWidth="1"/>
    <col min="51" max="51" width="9.5" style="103" customWidth="1"/>
    <col min="52" max="54" width="7.83333333333333" style="103" customWidth="1"/>
    <col min="55" max="55" width="9.75" style="103" customWidth="1"/>
    <col min="56" max="56" width="12.3333333333333" style="103" customWidth="1"/>
    <col min="57" max="57" width="11.0416666666667" style="106" customWidth="1"/>
    <col min="58" max="58" width="7.83333333333333" style="106" customWidth="1"/>
    <col min="59" max="59" width="8.33333333333333" style="106" customWidth="1"/>
    <col min="60" max="60" width="7.83333333333333" style="106" customWidth="1"/>
    <col min="61" max="61" width="8.83333333333333" style="106" customWidth="1"/>
    <col min="62" max="62" width="7.83333333333333" style="103" customWidth="1"/>
    <col min="63" max="75" width="8.83333333333333" style="103" customWidth="1"/>
    <col min="76" max="76" width="9.33333333333333" style="103" customWidth="1"/>
    <col min="77" max="77" width="8.83333333333333" style="103" customWidth="1"/>
    <col min="78" max="78" width="9.33333333333333" style="103" customWidth="1"/>
    <col min="79" max="79" width="8.83333333333333" style="103" customWidth="1"/>
    <col min="80" max="80" width="11.875" style="103" customWidth="1"/>
    <col min="81" max="81" width="11" style="103" customWidth="1"/>
    <col min="82" max="82" width="12.4083333333333" style="103" customWidth="1"/>
    <col min="83" max="83" width="12.3333333333333" style="103" customWidth="1"/>
    <col min="84" max="84" width="8.83333333333333" style="103" customWidth="1"/>
    <col min="85" max="85" width="12.3333333333333" style="103" customWidth="1"/>
    <col min="86" max="104" width="8.83333333333333" style="103" customWidth="1"/>
    <col min="105" max="105" width="12.3333333333333" style="103" customWidth="1"/>
    <col min="106" max="106" width="12.0833333333333" style="103" customWidth="1"/>
    <col min="107" max="107" width="11.875" style="103" customWidth="1"/>
    <col min="108" max="131" width="8.83333333333333" style="103" customWidth="1"/>
    <col min="132" max="132" width="11" style="103" customWidth="1"/>
    <col min="133" max="154" width="8.83333333333333" style="103" customWidth="1"/>
    <col min="155" max="155" width="9.66666666666667" style="103" customWidth="1"/>
    <col min="156" max="156" width="12.6666666666667" style="103"/>
    <col min="157" max="157" width="14.1666666666667" style="103"/>
    <col min="158" max="159" width="8.83333333333333" style="103"/>
    <col min="160" max="160" width="9.66666666666667" style="103" customWidth="1"/>
    <col min="161" max="166" width="8.83333333333333" style="103"/>
    <col min="167" max="167" width="9.66666666666667" style="103"/>
    <col min="168" max="175" width="8.83333333333333" style="103"/>
    <col min="176" max="176" width="9.66666666666667" style="103"/>
    <col min="177" max="16384" width="8.83333333333333" style="103"/>
  </cols>
  <sheetData>
    <row r="1" s="79" customFormat="1" ht="66" customHeight="1" spans="1:208">
      <c r="A1" s="107" t="s">
        <v>65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10"/>
      <c r="EZ1" s="110"/>
      <c r="FA1" s="110"/>
      <c r="FB1" s="110"/>
      <c r="FC1" s="110"/>
      <c r="FD1" s="110"/>
      <c r="FE1" s="110"/>
      <c r="FF1" s="110"/>
      <c r="FG1" s="110"/>
      <c r="FH1" s="110"/>
      <c r="FI1" s="110"/>
      <c r="FJ1" s="110"/>
      <c r="FK1" s="110"/>
      <c r="FL1" s="110"/>
      <c r="FM1" s="110"/>
      <c r="FN1" s="110"/>
      <c r="FO1" s="110"/>
      <c r="FP1" s="110"/>
      <c r="FQ1" s="110"/>
      <c r="FR1" s="110"/>
      <c r="FS1" s="110"/>
      <c r="FT1" s="110"/>
      <c r="FU1" s="110"/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10"/>
      <c r="GY1" s="110"/>
      <c r="GZ1" s="110"/>
    </row>
    <row r="2" s="79" customFormat="1" ht="31" customHeight="1" spans="1:208">
      <c r="A2" s="111" t="s">
        <v>1</v>
      </c>
      <c r="B2" s="112" t="s">
        <v>2</v>
      </c>
      <c r="C2" s="113" t="s">
        <v>66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4" t="s">
        <v>67</v>
      </c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5"/>
      <c r="BC2" s="116" t="s">
        <v>68</v>
      </c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5"/>
      <c r="CB2" s="116" t="s">
        <v>69</v>
      </c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5"/>
      <c r="DA2" s="116" t="s">
        <v>70</v>
      </c>
      <c r="DB2" s="114"/>
      <c r="DC2" s="114"/>
      <c r="DD2" s="114"/>
      <c r="DE2" s="114"/>
      <c r="DF2" s="114"/>
      <c r="DG2" s="114"/>
      <c r="DH2" s="114"/>
      <c r="DI2" s="114"/>
      <c r="DJ2" s="114"/>
      <c r="DK2" s="114"/>
      <c r="DL2" s="114"/>
      <c r="DM2" s="114"/>
      <c r="DN2" s="114"/>
      <c r="DO2" s="114"/>
      <c r="DP2" s="114"/>
      <c r="DQ2" s="114"/>
      <c r="DR2" s="114"/>
      <c r="DS2" s="114"/>
      <c r="DT2" s="114"/>
      <c r="DU2" s="114"/>
      <c r="DV2" s="114"/>
      <c r="DW2" s="114"/>
      <c r="DX2" s="114"/>
      <c r="DY2" s="115"/>
      <c r="DZ2" s="116" t="s">
        <v>71</v>
      </c>
      <c r="EA2" s="114"/>
      <c r="EB2" s="114"/>
      <c r="EC2" s="114"/>
      <c r="ED2" s="114"/>
      <c r="EE2" s="114"/>
      <c r="EF2" s="114"/>
      <c r="EG2" s="114"/>
      <c r="EH2" s="114"/>
      <c r="EI2" s="114"/>
      <c r="EJ2" s="114"/>
      <c r="EK2" s="114"/>
      <c r="EL2" s="114"/>
      <c r="EM2" s="114"/>
      <c r="EN2" s="114"/>
      <c r="EO2" s="114"/>
      <c r="EP2" s="114"/>
      <c r="EQ2" s="114"/>
      <c r="ER2" s="114"/>
      <c r="ES2" s="114"/>
      <c r="ET2" s="114"/>
      <c r="EU2" s="114"/>
      <c r="EV2" s="114"/>
      <c r="EW2" s="114"/>
      <c r="EX2" s="115"/>
      <c r="EY2" s="117" t="s">
        <v>72</v>
      </c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 t="s">
        <v>73</v>
      </c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</row>
    <row r="3" s="79" customFormat="1" ht="36" customHeight="1" spans="1:208">
      <c r="A3" s="118"/>
      <c r="B3" s="119"/>
      <c r="C3" s="120" t="s">
        <v>74</v>
      </c>
      <c r="D3" s="120"/>
      <c r="E3" s="120"/>
      <c r="F3" s="121" t="s">
        <v>75</v>
      </c>
      <c r="G3" s="121" t="s">
        <v>76</v>
      </c>
      <c r="H3" s="122" t="s">
        <v>40</v>
      </c>
      <c r="I3" s="122"/>
      <c r="J3" s="122"/>
      <c r="K3" s="122"/>
      <c r="L3" s="122"/>
      <c r="M3" s="122"/>
      <c r="N3" s="122"/>
      <c r="O3" s="122"/>
      <c r="P3" s="123" t="s">
        <v>63</v>
      </c>
      <c r="Q3" s="123"/>
      <c r="R3" s="123"/>
      <c r="S3" s="124" t="s">
        <v>77</v>
      </c>
      <c r="T3" s="124" t="s">
        <v>78</v>
      </c>
      <c r="U3" s="125" t="s">
        <v>79</v>
      </c>
      <c r="V3" s="125"/>
      <c r="W3" s="125"/>
      <c r="X3" s="125"/>
      <c r="Y3" s="125"/>
      <c r="Z3" s="125"/>
      <c r="AA3" s="125"/>
      <c r="AB3" s="125"/>
      <c r="AC3" s="126" t="s">
        <v>80</v>
      </c>
      <c r="AD3" s="127" t="s">
        <v>74</v>
      </c>
      <c r="AE3" s="128"/>
      <c r="AF3" s="128"/>
      <c r="AG3" s="129" t="s">
        <v>75</v>
      </c>
      <c r="AH3" s="129" t="s">
        <v>76</v>
      </c>
      <c r="AI3" s="130" t="s">
        <v>40</v>
      </c>
      <c r="AJ3" s="130"/>
      <c r="AK3" s="130"/>
      <c r="AL3" s="130"/>
      <c r="AM3" s="130"/>
      <c r="AN3" s="130"/>
      <c r="AO3" s="130"/>
      <c r="AP3" s="130"/>
      <c r="AQ3" s="131" t="s">
        <v>63</v>
      </c>
      <c r="AR3" s="131"/>
      <c r="AS3" s="131"/>
      <c r="AT3" s="132" t="s">
        <v>79</v>
      </c>
      <c r="AU3" s="132"/>
      <c r="AV3" s="132"/>
      <c r="AW3" s="132"/>
      <c r="AX3" s="132"/>
      <c r="AY3" s="132"/>
      <c r="AZ3" s="132"/>
      <c r="BA3" s="132"/>
      <c r="BB3" s="133" t="s">
        <v>81</v>
      </c>
      <c r="BC3" s="128" t="s">
        <v>74</v>
      </c>
      <c r="BD3" s="128"/>
      <c r="BE3" s="128"/>
      <c r="BF3" s="129" t="s">
        <v>75</v>
      </c>
      <c r="BG3" s="129" t="s">
        <v>76</v>
      </c>
      <c r="BH3" s="130" t="s">
        <v>40</v>
      </c>
      <c r="BI3" s="130"/>
      <c r="BJ3" s="130"/>
      <c r="BK3" s="130"/>
      <c r="BL3" s="130"/>
      <c r="BM3" s="130"/>
      <c r="BN3" s="130"/>
      <c r="BO3" s="130"/>
      <c r="BP3" s="131" t="s">
        <v>63</v>
      </c>
      <c r="BQ3" s="131"/>
      <c r="BR3" s="131"/>
      <c r="BS3" s="132" t="s">
        <v>79</v>
      </c>
      <c r="BT3" s="132"/>
      <c r="BU3" s="132"/>
      <c r="BV3" s="132"/>
      <c r="BW3" s="132"/>
      <c r="BX3" s="132"/>
      <c r="BY3" s="132"/>
      <c r="BZ3" s="132"/>
      <c r="CA3" s="133" t="s">
        <v>81</v>
      </c>
      <c r="CB3" s="128" t="s">
        <v>74</v>
      </c>
      <c r="CC3" s="128"/>
      <c r="CD3" s="128"/>
      <c r="CE3" s="129" t="s">
        <v>75</v>
      </c>
      <c r="CF3" s="129" t="s">
        <v>76</v>
      </c>
      <c r="CG3" s="130" t="s">
        <v>40</v>
      </c>
      <c r="CH3" s="130"/>
      <c r="CI3" s="130"/>
      <c r="CJ3" s="130"/>
      <c r="CK3" s="130"/>
      <c r="CL3" s="130"/>
      <c r="CM3" s="130"/>
      <c r="CN3" s="130"/>
      <c r="CO3" s="131" t="s">
        <v>63</v>
      </c>
      <c r="CP3" s="131"/>
      <c r="CQ3" s="131"/>
      <c r="CR3" s="132" t="s">
        <v>79</v>
      </c>
      <c r="CS3" s="132"/>
      <c r="CT3" s="132"/>
      <c r="CU3" s="132"/>
      <c r="CV3" s="132"/>
      <c r="CW3" s="132"/>
      <c r="CX3" s="132"/>
      <c r="CY3" s="132"/>
      <c r="CZ3" s="133" t="s">
        <v>81</v>
      </c>
      <c r="DA3" s="128" t="s">
        <v>74</v>
      </c>
      <c r="DB3" s="128"/>
      <c r="DC3" s="128"/>
      <c r="DD3" s="129" t="s">
        <v>75</v>
      </c>
      <c r="DE3" s="129" t="s">
        <v>76</v>
      </c>
      <c r="DF3" s="130" t="s">
        <v>40</v>
      </c>
      <c r="DG3" s="130"/>
      <c r="DH3" s="130"/>
      <c r="DI3" s="130"/>
      <c r="DJ3" s="130"/>
      <c r="DK3" s="130"/>
      <c r="DL3" s="130"/>
      <c r="DM3" s="130"/>
      <c r="DN3" s="131" t="s">
        <v>63</v>
      </c>
      <c r="DO3" s="131"/>
      <c r="DP3" s="131"/>
      <c r="DQ3" s="132" t="s">
        <v>79</v>
      </c>
      <c r="DR3" s="132"/>
      <c r="DS3" s="132"/>
      <c r="DT3" s="132"/>
      <c r="DU3" s="132"/>
      <c r="DV3" s="132"/>
      <c r="DW3" s="132"/>
      <c r="DX3" s="132"/>
      <c r="DY3" s="133" t="s">
        <v>81</v>
      </c>
      <c r="DZ3" s="128" t="s">
        <v>74</v>
      </c>
      <c r="EA3" s="128"/>
      <c r="EB3" s="128"/>
      <c r="EC3" s="129" t="s">
        <v>75</v>
      </c>
      <c r="ED3" s="129" t="s">
        <v>76</v>
      </c>
      <c r="EE3" s="130" t="s">
        <v>40</v>
      </c>
      <c r="EF3" s="130"/>
      <c r="EG3" s="130"/>
      <c r="EH3" s="130"/>
      <c r="EI3" s="130"/>
      <c r="EJ3" s="130"/>
      <c r="EK3" s="130"/>
      <c r="EL3" s="130"/>
      <c r="EM3" s="131" t="s">
        <v>63</v>
      </c>
      <c r="EN3" s="131"/>
      <c r="EO3" s="131"/>
      <c r="EP3" s="132" t="s">
        <v>79</v>
      </c>
      <c r="EQ3" s="132"/>
      <c r="ER3" s="132"/>
      <c r="ES3" s="132"/>
      <c r="ET3" s="132"/>
      <c r="EU3" s="132"/>
      <c r="EV3" s="132"/>
      <c r="EW3" s="132"/>
      <c r="EX3" s="133" t="s">
        <v>81</v>
      </c>
      <c r="EY3" s="134" t="s">
        <v>74</v>
      </c>
      <c r="EZ3" s="134"/>
      <c r="FA3" s="134"/>
      <c r="FB3" s="135" t="s">
        <v>75</v>
      </c>
      <c r="FC3" s="135" t="s">
        <v>76</v>
      </c>
      <c r="FD3" s="136" t="s">
        <v>40</v>
      </c>
      <c r="FE3" s="136"/>
      <c r="FF3" s="136"/>
      <c r="FG3" s="136"/>
      <c r="FH3" s="136"/>
      <c r="FI3" s="136"/>
      <c r="FJ3" s="136"/>
      <c r="FK3" s="136"/>
      <c r="FL3" s="137" t="s">
        <v>63</v>
      </c>
      <c r="FM3" s="137"/>
      <c r="FN3" s="137"/>
      <c r="FO3" s="124" t="s">
        <v>82</v>
      </c>
      <c r="FP3" s="124" t="s">
        <v>83</v>
      </c>
      <c r="FQ3" s="138" t="s">
        <v>79</v>
      </c>
      <c r="FR3" s="138"/>
      <c r="FS3" s="138"/>
      <c r="FT3" s="138"/>
      <c r="FU3" s="138"/>
      <c r="FV3" s="138"/>
      <c r="FW3" s="138"/>
      <c r="FX3" s="138"/>
      <c r="FY3" s="139" t="s">
        <v>84</v>
      </c>
      <c r="FZ3" s="134" t="s">
        <v>74</v>
      </c>
      <c r="GA3" s="134"/>
      <c r="GB3" s="134"/>
      <c r="GC3" s="135" t="s">
        <v>75</v>
      </c>
      <c r="GD3" s="135" t="s">
        <v>76</v>
      </c>
      <c r="GE3" s="136" t="s">
        <v>40</v>
      </c>
      <c r="GF3" s="136"/>
      <c r="GG3" s="136"/>
      <c r="GH3" s="136"/>
      <c r="GI3" s="136"/>
      <c r="GJ3" s="136"/>
      <c r="GK3" s="136"/>
      <c r="GL3" s="136"/>
      <c r="GM3" s="137" t="s">
        <v>63</v>
      </c>
      <c r="GN3" s="137"/>
      <c r="GO3" s="137"/>
      <c r="GP3" s="124" t="s">
        <v>82</v>
      </c>
      <c r="GQ3" s="124" t="s">
        <v>83</v>
      </c>
      <c r="GR3" s="138" t="s">
        <v>79</v>
      </c>
      <c r="GS3" s="138"/>
      <c r="GT3" s="138"/>
      <c r="GU3" s="138"/>
      <c r="GV3" s="138"/>
      <c r="GW3" s="138"/>
      <c r="GX3" s="138"/>
      <c r="GY3" s="138"/>
      <c r="GZ3" s="139" t="s">
        <v>84</v>
      </c>
    </row>
    <row r="4" s="79" customFormat="1" ht="56" customHeight="1" spans="1:208">
      <c r="A4" s="140"/>
      <c r="B4" s="141"/>
      <c r="C4" s="142" t="s">
        <v>85</v>
      </c>
      <c r="D4" s="142" t="s">
        <v>86</v>
      </c>
      <c r="E4" s="142" t="s">
        <v>87</v>
      </c>
      <c r="F4" s="143"/>
      <c r="G4" s="143"/>
      <c r="H4" s="144" t="s">
        <v>58</v>
      </c>
      <c r="I4" s="144" t="s">
        <v>88</v>
      </c>
      <c r="J4" s="144" t="s">
        <v>89</v>
      </c>
      <c r="K4" s="144" t="s">
        <v>90</v>
      </c>
      <c r="L4" s="144" t="s">
        <v>91</v>
      </c>
      <c r="M4" s="144" t="s">
        <v>92</v>
      </c>
      <c r="N4" s="144" t="s">
        <v>93</v>
      </c>
      <c r="O4" s="145" t="s">
        <v>94</v>
      </c>
      <c r="P4" s="146" t="s">
        <v>95</v>
      </c>
      <c r="Q4" s="146" t="s">
        <v>96</v>
      </c>
      <c r="R4" s="146" t="s">
        <v>59</v>
      </c>
      <c r="S4" s="124"/>
      <c r="T4" s="124"/>
      <c r="U4" s="147" t="s">
        <v>97</v>
      </c>
      <c r="V4" s="147" t="s">
        <v>98</v>
      </c>
      <c r="W4" s="147" t="s">
        <v>99</v>
      </c>
      <c r="X4" s="147" t="s">
        <v>100</v>
      </c>
      <c r="Y4" s="147" t="s">
        <v>101</v>
      </c>
      <c r="Z4" s="147" t="s">
        <v>102</v>
      </c>
      <c r="AA4" s="147" t="s">
        <v>103</v>
      </c>
      <c r="AB4" s="147" t="s">
        <v>104</v>
      </c>
      <c r="AC4" s="148"/>
      <c r="AD4" s="149" t="s">
        <v>85</v>
      </c>
      <c r="AE4" s="150" t="s">
        <v>86</v>
      </c>
      <c r="AF4" s="150" t="s">
        <v>87</v>
      </c>
      <c r="AG4" s="151"/>
      <c r="AH4" s="151"/>
      <c r="AI4" s="152" t="s">
        <v>58</v>
      </c>
      <c r="AJ4" s="152" t="s">
        <v>88</v>
      </c>
      <c r="AK4" s="152" t="s">
        <v>89</v>
      </c>
      <c r="AL4" s="152" t="s">
        <v>90</v>
      </c>
      <c r="AM4" s="152" t="s">
        <v>91</v>
      </c>
      <c r="AN4" s="152" t="s">
        <v>92</v>
      </c>
      <c r="AO4" s="152" t="s">
        <v>93</v>
      </c>
      <c r="AP4" s="152" t="s">
        <v>105</v>
      </c>
      <c r="AQ4" s="131" t="s">
        <v>95</v>
      </c>
      <c r="AR4" s="131" t="s">
        <v>96</v>
      </c>
      <c r="AS4" s="131" t="s">
        <v>59</v>
      </c>
      <c r="AT4" s="132" t="s">
        <v>97</v>
      </c>
      <c r="AU4" s="132" t="s">
        <v>98</v>
      </c>
      <c r="AV4" s="132" t="s">
        <v>99</v>
      </c>
      <c r="AW4" s="132" t="s">
        <v>61</v>
      </c>
      <c r="AX4" s="132" t="s">
        <v>101</v>
      </c>
      <c r="AY4" s="132" t="s">
        <v>102</v>
      </c>
      <c r="AZ4" s="132" t="s">
        <v>103</v>
      </c>
      <c r="BA4" s="132" t="s">
        <v>104</v>
      </c>
      <c r="BB4" s="133"/>
      <c r="BC4" s="150" t="s">
        <v>85</v>
      </c>
      <c r="BD4" s="150" t="s">
        <v>86</v>
      </c>
      <c r="BE4" s="150" t="s">
        <v>87</v>
      </c>
      <c r="BF4" s="151"/>
      <c r="BG4" s="151"/>
      <c r="BH4" s="152" t="s">
        <v>58</v>
      </c>
      <c r="BI4" s="152" t="s">
        <v>88</v>
      </c>
      <c r="BJ4" s="152" t="s">
        <v>89</v>
      </c>
      <c r="BK4" s="152" t="s">
        <v>90</v>
      </c>
      <c r="BL4" s="152" t="s">
        <v>91</v>
      </c>
      <c r="BM4" s="152" t="s">
        <v>92</v>
      </c>
      <c r="BN4" s="152" t="s">
        <v>93</v>
      </c>
      <c r="BO4" s="152" t="s">
        <v>105</v>
      </c>
      <c r="BP4" s="131" t="s">
        <v>95</v>
      </c>
      <c r="BQ4" s="131" t="s">
        <v>96</v>
      </c>
      <c r="BR4" s="131" t="s">
        <v>59</v>
      </c>
      <c r="BS4" s="132" t="s">
        <v>97</v>
      </c>
      <c r="BT4" s="132" t="s">
        <v>98</v>
      </c>
      <c r="BU4" s="132" t="s">
        <v>99</v>
      </c>
      <c r="BV4" s="132" t="s">
        <v>61</v>
      </c>
      <c r="BW4" s="132" t="s">
        <v>101</v>
      </c>
      <c r="BX4" s="132" t="s">
        <v>102</v>
      </c>
      <c r="BY4" s="132" t="s">
        <v>103</v>
      </c>
      <c r="BZ4" s="132" t="s">
        <v>104</v>
      </c>
      <c r="CA4" s="133"/>
      <c r="CB4" s="128" t="s">
        <v>85</v>
      </c>
      <c r="CC4" s="128" t="s">
        <v>86</v>
      </c>
      <c r="CD4" s="128" t="s">
        <v>87</v>
      </c>
      <c r="CE4" s="129"/>
      <c r="CF4" s="129"/>
      <c r="CG4" s="130" t="s">
        <v>58</v>
      </c>
      <c r="CH4" s="130" t="s">
        <v>88</v>
      </c>
      <c r="CI4" s="130" t="s">
        <v>89</v>
      </c>
      <c r="CJ4" s="130" t="s">
        <v>90</v>
      </c>
      <c r="CK4" s="130" t="s">
        <v>91</v>
      </c>
      <c r="CL4" s="130" t="s">
        <v>92</v>
      </c>
      <c r="CM4" s="130" t="s">
        <v>93</v>
      </c>
      <c r="CN4" s="130" t="s">
        <v>105</v>
      </c>
      <c r="CO4" s="131" t="s">
        <v>95</v>
      </c>
      <c r="CP4" s="131" t="s">
        <v>96</v>
      </c>
      <c r="CQ4" s="131" t="s">
        <v>59</v>
      </c>
      <c r="CR4" s="132" t="s">
        <v>97</v>
      </c>
      <c r="CS4" s="132" t="s">
        <v>98</v>
      </c>
      <c r="CT4" s="132" t="s">
        <v>99</v>
      </c>
      <c r="CU4" s="132" t="s">
        <v>61</v>
      </c>
      <c r="CV4" s="132" t="s">
        <v>101</v>
      </c>
      <c r="CW4" s="132" t="s">
        <v>102</v>
      </c>
      <c r="CX4" s="132" t="s">
        <v>103</v>
      </c>
      <c r="CY4" s="132" t="s">
        <v>104</v>
      </c>
      <c r="CZ4" s="133"/>
      <c r="DA4" s="150" t="s">
        <v>85</v>
      </c>
      <c r="DB4" s="150" t="s">
        <v>86</v>
      </c>
      <c r="DC4" s="150" t="s">
        <v>87</v>
      </c>
      <c r="DD4" s="151"/>
      <c r="DE4" s="151"/>
      <c r="DF4" s="152" t="s">
        <v>58</v>
      </c>
      <c r="DG4" s="152" t="s">
        <v>88</v>
      </c>
      <c r="DH4" s="152" t="s">
        <v>89</v>
      </c>
      <c r="DI4" s="152" t="s">
        <v>90</v>
      </c>
      <c r="DJ4" s="152" t="s">
        <v>91</v>
      </c>
      <c r="DK4" s="152" t="s">
        <v>92</v>
      </c>
      <c r="DL4" s="152" t="s">
        <v>93</v>
      </c>
      <c r="DM4" s="152" t="s">
        <v>105</v>
      </c>
      <c r="DN4" s="131" t="s">
        <v>95</v>
      </c>
      <c r="DO4" s="131" t="s">
        <v>96</v>
      </c>
      <c r="DP4" s="131" t="s">
        <v>59</v>
      </c>
      <c r="DQ4" s="132" t="s">
        <v>97</v>
      </c>
      <c r="DR4" s="132" t="s">
        <v>98</v>
      </c>
      <c r="DS4" s="132" t="s">
        <v>99</v>
      </c>
      <c r="DT4" s="132" t="s">
        <v>61</v>
      </c>
      <c r="DU4" s="132" t="s">
        <v>101</v>
      </c>
      <c r="DV4" s="132" t="s">
        <v>102</v>
      </c>
      <c r="DW4" s="132" t="s">
        <v>103</v>
      </c>
      <c r="DX4" s="132" t="s">
        <v>104</v>
      </c>
      <c r="DY4" s="133"/>
      <c r="DZ4" s="150" t="s">
        <v>85</v>
      </c>
      <c r="EA4" s="150" t="s">
        <v>86</v>
      </c>
      <c r="EB4" s="150" t="s">
        <v>87</v>
      </c>
      <c r="EC4" s="151"/>
      <c r="ED4" s="151"/>
      <c r="EE4" s="152" t="s">
        <v>58</v>
      </c>
      <c r="EF4" s="152" t="s">
        <v>88</v>
      </c>
      <c r="EG4" s="152" t="s">
        <v>89</v>
      </c>
      <c r="EH4" s="152" t="s">
        <v>90</v>
      </c>
      <c r="EI4" s="152" t="s">
        <v>91</v>
      </c>
      <c r="EJ4" s="152" t="s">
        <v>92</v>
      </c>
      <c r="EK4" s="152" t="s">
        <v>93</v>
      </c>
      <c r="EL4" s="152" t="s">
        <v>105</v>
      </c>
      <c r="EM4" s="131" t="s">
        <v>95</v>
      </c>
      <c r="EN4" s="131" t="s">
        <v>96</v>
      </c>
      <c r="EO4" s="131" t="s">
        <v>59</v>
      </c>
      <c r="EP4" s="132" t="s">
        <v>97</v>
      </c>
      <c r="EQ4" s="132" t="s">
        <v>98</v>
      </c>
      <c r="ER4" s="132" t="s">
        <v>99</v>
      </c>
      <c r="ES4" s="132" t="s">
        <v>61</v>
      </c>
      <c r="ET4" s="132" t="s">
        <v>101</v>
      </c>
      <c r="EU4" s="132" t="s">
        <v>102</v>
      </c>
      <c r="EV4" s="132" t="s">
        <v>103</v>
      </c>
      <c r="EW4" s="132" t="s">
        <v>104</v>
      </c>
      <c r="EX4" s="133"/>
      <c r="EY4" s="153" t="s">
        <v>85</v>
      </c>
      <c r="EZ4" s="153" t="s">
        <v>86</v>
      </c>
      <c r="FA4" s="153" t="s">
        <v>87</v>
      </c>
      <c r="FB4" s="154"/>
      <c r="FC4" s="154"/>
      <c r="FD4" s="155" t="s">
        <v>58</v>
      </c>
      <c r="FE4" s="155" t="s">
        <v>88</v>
      </c>
      <c r="FF4" s="155" t="s">
        <v>89</v>
      </c>
      <c r="FG4" s="155" t="s">
        <v>90</v>
      </c>
      <c r="FH4" s="155" t="s">
        <v>91</v>
      </c>
      <c r="FI4" s="155" t="s">
        <v>92</v>
      </c>
      <c r="FJ4" s="155" t="s">
        <v>93</v>
      </c>
      <c r="FK4" s="156" t="s">
        <v>94</v>
      </c>
      <c r="FL4" s="157" t="s">
        <v>95</v>
      </c>
      <c r="FM4" s="157" t="s">
        <v>96</v>
      </c>
      <c r="FN4" s="157" t="s">
        <v>59</v>
      </c>
      <c r="FO4" s="124"/>
      <c r="FP4" s="124"/>
      <c r="FQ4" s="158" t="s">
        <v>97</v>
      </c>
      <c r="FR4" s="158" t="s">
        <v>98</v>
      </c>
      <c r="FS4" s="158" t="s">
        <v>99</v>
      </c>
      <c r="FT4" s="158" t="s">
        <v>100</v>
      </c>
      <c r="FU4" s="158" t="s">
        <v>101</v>
      </c>
      <c r="FV4" s="158" t="s">
        <v>102</v>
      </c>
      <c r="FW4" s="158" t="s">
        <v>103</v>
      </c>
      <c r="FX4" s="158" t="s">
        <v>104</v>
      </c>
      <c r="FY4" s="159"/>
      <c r="FZ4" s="153" t="s">
        <v>85</v>
      </c>
      <c r="GA4" s="153" t="s">
        <v>86</v>
      </c>
      <c r="GB4" s="153" t="s">
        <v>87</v>
      </c>
      <c r="GC4" s="154"/>
      <c r="GD4" s="154"/>
      <c r="GE4" s="155" t="s">
        <v>58</v>
      </c>
      <c r="GF4" s="155" t="s">
        <v>88</v>
      </c>
      <c r="GG4" s="155" t="s">
        <v>89</v>
      </c>
      <c r="GH4" s="155" t="s">
        <v>90</v>
      </c>
      <c r="GI4" s="155" t="s">
        <v>91</v>
      </c>
      <c r="GJ4" s="155" t="s">
        <v>92</v>
      </c>
      <c r="GK4" s="155" t="s">
        <v>93</v>
      </c>
      <c r="GL4" s="156" t="s">
        <v>94</v>
      </c>
      <c r="GM4" s="157" t="s">
        <v>95</v>
      </c>
      <c r="GN4" s="157" t="s">
        <v>96</v>
      </c>
      <c r="GO4" s="157" t="s">
        <v>59</v>
      </c>
      <c r="GP4" s="124"/>
      <c r="GQ4" s="124"/>
      <c r="GR4" s="158" t="s">
        <v>97</v>
      </c>
      <c r="GS4" s="158" t="s">
        <v>98</v>
      </c>
      <c r="GT4" s="158" t="s">
        <v>99</v>
      </c>
      <c r="GU4" s="158" t="s">
        <v>100</v>
      </c>
      <c r="GV4" s="158" t="s">
        <v>101</v>
      </c>
      <c r="GW4" s="158" t="s">
        <v>102</v>
      </c>
      <c r="GX4" s="158" t="s">
        <v>103</v>
      </c>
      <c r="GY4" s="158" t="s">
        <v>104</v>
      </c>
      <c r="GZ4" s="159"/>
    </row>
    <row r="5" s="100" customFormat="1" ht="39" customHeight="1" spans="1:208">
      <c r="A5" s="160">
        <v>1</v>
      </c>
      <c r="B5" s="161" t="s">
        <v>20</v>
      </c>
      <c r="C5" s="162">
        <f t="shared" ref="C5:N5" si="0">AD5+BC5+CB5+DA5+DZ5+EY5+FZ5</f>
        <v>248803.49</v>
      </c>
      <c r="D5" s="162">
        <f t="shared" si="0"/>
        <v>66930.53</v>
      </c>
      <c r="E5" s="162">
        <f t="shared" si="0"/>
        <v>315734.02</v>
      </c>
      <c r="F5" s="162">
        <f t="shared" si="0"/>
        <v>853</v>
      </c>
      <c r="G5" s="162">
        <f t="shared" si="0"/>
        <v>1213</v>
      </c>
      <c r="H5" s="162">
        <f t="shared" si="0"/>
        <v>8849</v>
      </c>
      <c r="I5" s="162">
        <f t="shared" si="0"/>
        <v>7118</v>
      </c>
      <c r="J5" s="162">
        <f t="shared" si="0"/>
        <v>703</v>
      </c>
      <c r="K5" s="162">
        <f t="shared" si="0"/>
        <v>1028</v>
      </c>
      <c r="L5" s="162">
        <f t="shared" si="0"/>
        <v>6679</v>
      </c>
      <c r="M5" s="162">
        <f t="shared" si="0"/>
        <v>282</v>
      </c>
      <c r="N5" s="162">
        <f t="shared" si="0"/>
        <v>7580</v>
      </c>
      <c r="O5" s="163">
        <f>E5/N5</f>
        <v>41.6535646437995</v>
      </c>
      <c r="P5" s="162">
        <f>AQ5+BP5+CO5+DN5+EM5+FL5+GM5</f>
        <v>199</v>
      </c>
      <c r="Q5" s="162">
        <f>AR5+BQ5+CP5+DO5+EN5+FM5+GN5</f>
        <v>10</v>
      </c>
      <c r="R5" s="164">
        <f>AS5+BR5+CQ5+DP5+EO5+FN5+GO5</f>
        <v>209</v>
      </c>
      <c r="S5" s="164">
        <v>26</v>
      </c>
      <c r="T5" s="164">
        <v>1</v>
      </c>
      <c r="U5" s="165">
        <f>AT5+BS5+CR5+DQ5+EP5+FQ5+GR5</f>
        <v>83</v>
      </c>
      <c r="V5" s="162">
        <f>AU5+BT5+CS5+DR5+EQ5+FR5+GS5</f>
        <v>79</v>
      </c>
      <c r="W5" s="162">
        <f>AV5+BU5+CT5+DS5+ER5+FS5+GT5</f>
        <v>4</v>
      </c>
      <c r="X5" s="166">
        <v>0.038</v>
      </c>
      <c r="Y5" s="162">
        <f>AX5+BW5+CV5+DU5+ET5+FU5+GV5</f>
        <v>0</v>
      </c>
      <c r="Z5" s="167">
        <f>AY5+BX5+CW5+DV5+EU5+FV5+GW5</f>
        <v>0</v>
      </c>
      <c r="AA5" s="168">
        <f>AZ5+BY5+CX5+DW5+EV5+FW5+GX5</f>
        <v>83</v>
      </c>
      <c r="AB5" s="169">
        <f>AA5/N5</f>
        <v>0.0109498680738786</v>
      </c>
      <c r="AC5" s="170">
        <v>77</v>
      </c>
      <c r="AD5" s="171">
        <v>93470.35</v>
      </c>
      <c r="AE5" s="171">
        <v>18907.78</v>
      </c>
      <c r="AF5" s="172">
        <v>112378.13</v>
      </c>
      <c r="AG5" s="171">
        <v>203</v>
      </c>
      <c r="AH5" s="171">
        <v>295</v>
      </c>
      <c r="AI5" s="172">
        <v>3099</v>
      </c>
      <c r="AJ5" s="171">
        <v>2512</v>
      </c>
      <c r="AK5" s="171">
        <v>238</v>
      </c>
      <c r="AL5" s="171">
        <v>349</v>
      </c>
      <c r="AM5" s="171">
        <v>2392</v>
      </c>
      <c r="AN5" s="171">
        <v>65</v>
      </c>
      <c r="AO5" s="171">
        <v>2708</v>
      </c>
      <c r="AP5" s="173">
        <v>41.498570901034</v>
      </c>
      <c r="AQ5" s="171">
        <v>67</v>
      </c>
      <c r="AR5" s="171">
        <v>10</v>
      </c>
      <c r="AS5" s="171">
        <v>77</v>
      </c>
      <c r="AT5" s="171">
        <v>36</v>
      </c>
      <c r="AU5" s="171">
        <v>33</v>
      </c>
      <c r="AV5" s="171">
        <v>3</v>
      </c>
      <c r="AW5" s="174">
        <v>0.31</v>
      </c>
      <c r="AX5" s="171">
        <v>0</v>
      </c>
      <c r="AY5" s="174">
        <v>0</v>
      </c>
      <c r="AZ5" s="171">
        <v>36</v>
      </c>
      <c r="BA5" s="174">
        <v>0.0107090103397341</v>
      </c>
      <c r="BB5" s="171">
        <v>3</v>
      </c>
      <c r="BC5" s="171">
        <v>63223.11</v>
      </c>
      <c r="BD5" s="171">
        <v>13029.01</v>
      </c>
      <c r="BE5" s="172">
        <v>76252.12</v>
      </c>
      <c r="BF5" s="171">
        <v>148</v>
      </c>
      <c r="BG5" s="171">
        <v>367</v>
      </c>
      <c r="BH5" s="172">
        <v>1529</v>
      </c>
      <c r="BI5" s="171">
        <v>1373</v>
      </c>
      <c r="BJ5" s="171">
        <v>109</v>
      </c>
      <c r="BK5" s="171">
        <v>47</v>
      </c>
      <c r="BL5" s="171">
        <v>1443</v>
      </c>
      <c r="BM5" s="171">
        <v>18</v>
      </c>
      <c r="BN5" s="171">
        <v>1842</v>
      </c>
      <c r="BO5" s="173">
        <v>41.3963735070575</v>
      </c>
      <c r="BP5" s="171">
        <v>22</v>
      </c>
      <c r="BQ5" s="171">
        <v>0</v>
      </c>
      <c r="BR5" s="171">
        <v>22</v>
      </c>
      <c r="BS5" s="171">
        <v>4</v>
      </c>
      <c r="BT5" s="171">
        <v>4</v>
      </c>
      <c r="BU5" s="171">
        <v>0</v>
      </c>
      <c r="BV5" s="174">
        <v>0.1</v>
      </c>
      <c r="BW5" s="171">
        <v>0</v>
      </c>
      <c r="BX5" s="174">
        <v>0</v>
      </c>
      <c r="BY5" s="171">
        <v>4</v>
      </c>
      <c r="BZ5" s="174">
        <v>0.00217155266015201</v>
      </c>
      <c r="CA5" s="171">
        <v>5</v>
      </c>
      <c r="CB5" s="171">
        <v>30312.47</v>
      </c>
      <c r="CC5" s="171">
        <v>11985.57</v>
      </c>
      <c r="CD5" s="172">
        <v>42298.04</v>
      </c>
      <c r="CE5" s="171">
        <v>167</v>
      </c>
      <c r="CF5" s="171">
        <v>202</v>
      </c>
      <c r="CG5" s="172">
        <v>1277</v>
      </c>
      <c r="CH5" s="171">
        <v>1009</v>
      </c>
      <c r="CI5" s="171">
        <v>123</v>
      </c>
      <c r="CJ5" s="171">
        <v>145</v>
      </c>
      <c r="CK5" s="171">
        <v>889</v>
      </c>
      <c r="CL5" s="171">
        <v>139</v>
      </c>
      <c r="CM5" s="171">
        <v>991</v>
      </c>
      <c r="CN5" s="173">
        <v>42.6821796165489</v>
      </c>
      <c r="CO5" s="171">
        <v>29</v>
      </c>
      <c r="CP5" s="171">
        <v>0</v>
      </c>
      <c r="CQ5" s="171">
        <v>29</v>
      </c>
      <c r="CR5" s="171">
        <v>9</v>
      </c>
      <c r="CS5" s="171">
        <v>9</v>
      </c>
      <c r="CT5" s="171">
        <v>0</v>
      </c>
      <c r="CU5" s="174">
        <v>0.158</v>
      </c>
      <c r="CV5" s="171">
        <v>0</v>
      </c>
      <c r="CW5" s="174">
        <v>0</v>
      </c>
      <c r="CX5" s="171">
        <v>9</v>
      </c>
      <c r="CY5" s="174">
        <v>0.00908173562058527</v>
      </c>
      <c r="CZ5" s="171">
        <v>79</v>
      </c>
      <c r="DA5" s="171">
        <v>19166.62</v>
      </c>
      <c r="DB5" s="171">
        <v>0</v>
      </c>
      <c r="DC5" s="172">
        <v>19166.62</v>
      </c>
      <c r="DD5" s="171">
        <v>102</v>
      </c>
      <c r="DE5" s="171">
        <v>98</v>
      </c>
      <c r="DF5" s="172">
        <v>731</v>
      </c>
      <c r="DG5" s="171">
        <v>530</v>
      </c>
      <c r="DH5" s="171">
        <v>6</v>
      </c>
      <c r="DI5" s="171">
        <v>195</v>
      </c>
      <c r="DJ5" s="171">
        <v>455</v>
      </c>
      <c r="DK5" s="171">
        <v>0</v>
      </c>
      <c r="DL5" s="171">
        <v>474</v>
      </c>
      <c r="DM5" s="173">
        <v>40.4359071729958</v>
      </c>
      <c r="DN5" s="171">
        <v>22</v>
      </c>
      <c r="DO5" s="171">
        <v>0</v>
      </c>
      <c r="DP5" s="171">
        <v>22</v>
      </c>
      <c r="DQ5" s="171">
        <v>7</v>
      </c>
      <c r="DR5" s="171">
        <v>7</v>
      </c>
      <c r="DS5" s="171">
        <v>0</v>
      </c>
      <c r="DT5" s="174">
        <v>0.008</v>
      </c>
      <c r="DU5" s="171">
        <v>0</v>
      </c>
      <c r="DV5" s="174">
        <v>0</v>
      </c>
      <c r="DW5" s="171">
        <v>7</v>
      </c>
      <c r="DX5" s="174">
        <v>0.0147679324894515</v>
      </c>
      <c r="DY5" s="171">
        <v>103</v>
      </c>
      <c r="DZ5" s="171">
        <v>14141.01</v>
      </c>
      <c r="EA5" s="171">
        <v>10629.61</v>
      </c>
      <c r="EB5" s="172">
        <v>24770.62</v>
      </c>
      <c r="EC5" s="171">
        <v>110</v>
      </c>
      <c r="ED5" s="171">
        <v>87</v>
      </c>
      <c r="EE5" s="172">
        <v>1126</v>
      </c>
      <c r="EF5" s="171">
        <v>849</v>
      </c>
      <c r="EG5" s="171">
        <v>130</v>
      </c>
      <c r="EH5" s="171">
        <v>147</v>
      </c>
      <c r="EI5" s="171">
        <v>762</v>
      </c>
      <c r="EJ5" s="171">
        <v>14</v>
      </c>
      <c r="EK5" s="171">
        <v>739</v>
      </c>
      <c r="EL5" s="173">
        <v>33.5191069012179</v>
      </c>
      <c r="EM5" s="171">
        <v>22</v>
      </c>
      <c r="EN5" s="171">
        <v>0</v>
      </c>
      <c r="EO5" s="171">
        <v>22</v>
      </c>
      <c r="EP5" s="171">
        <v>10</v>
      </c>
      <c r="EQ5" s="171">
        <v>10</v>
      </c>
      <c r="ER5" s="171">
        <v>0</v>
      </c>
      <c r="ES5" s="174">
        <v>0.12</v>
      </c>
      <c r="ET5" s="171">
        <v>0</v>
      </c>
      <c r="EU5" s="174">
        <v>0</v>
      </c>
      <c r="EV5" s="171">
        <v>10</v>
      </c>
      <c r="EW5" s="174">
        <v>0.013531799729364</v>
      </c>
      <c r="EX5" s="171">
        <v>41</v>
      </c>
      <c r="EY5" s="175">
        <v>19526.4</v>
      </c>
      <c r="EZ5" s="175">
        <v>7878.56</v>
      </c>
      <c r="FA5" s="175">
        <v>27404.96</v>
      </c>
      <c r="FB5" s="175">
        <v>88</v>
      </c>
      <c r="FC5" s="175">
        <v>126</v>
      </c>
      <c r="FD5" s="175">
        <v>733</v>
      </c>
      <c r="FE5" s="175">
        <v>600</v>
      </c>
      <c r="FF5" s="175">
        <v>38</v>
      </c>
      <c r="FG5" s="175">
        <v>95</v>
      </c>
      <c r="FH5" s="175">
        <v>501</v>
      </c>
      <c r="FI5" s="175">
        <v>9</v>
      </c>
      <c r="FJ5" s="175">
        <v>570</v>
      </c>
      <c r="FK5" s="176">
        <v>48.0788771929825</v>
      </c>
      <c r="FL5" s="175">
        <v>35</v>
      </c>
      <c r="FM5" s="175">
        <v>0</v>
      </c>
      <c r="FN5" s="177">
        <v>35</v>
      </c>
      <c r="FO5" s="177">
        <v>101</v>
      </c>
      <c r="FP5" s="177">
        <v>33</v>
      </c>
      <c r="FQ5" s="178">
        <v>16</v>
      </c>
      <c r="FR5" s="175">
        <v>15</v>
      </c>
      <c r="FS5" s="175">
        <v>1</v>
      </c>
      <c r="FT5" s="179">
        <v>0.158</v>
      </c>
      <c r="FU5" s="175">
        <v>0</v>
      </c>
      <c r="FV5" s="180">
        <v>0</v>
      </c>
      <c r="FW5" s="181">
        <v>16</v>
      </c>
      <c r="FX5" s="182">
        <v>0.0280701754385965</v>
      </c>
      <c r="FY5" s="183">
        <v>8</v>
      </c>
      <c r="FZ5" s="175">
        <v>8963.53</v>
      </c>
      <c r="GA5" s="175">
        <v>4500</v>
      </c>
      <c r="GB5" s="175">
        <v>13463.53</v>
      </c>
      <c r="GC5" s="175">
        <v>35</v>
      </c>
      <c r="GD5" s="175">
        <v>38</v>
      </c>
      <c r="GE5" s="175">
        <v>354</v>
      </c>
      <c r="GF5" s="175">
        <v>245</v>
      </c>
      <c r="GG5" s="175">
        <v>59</v>
      </c>
      <c r="GH5" s="175">
        <v>50</v>
      </c>
      <c r="GI5" s="175">
        <v>237</v>
      </c>
      <c r="GJ5" s="175">
        <v>37</v>
      </c>
      <c r="GK5" s="175">
        <v>256</v>
      </c>
      <c r="GL5" s="176">
        <v>52.5919140625</v>
      </c>
      <c r="GM5" s="175">
        <v>2</v>
      </c>
      <c r="GN5" s="175">
        <v>0</v>
      </c>
      <c r="GO5" s="177">
        <v>2</v>
      </c>
      <c r="GP5" s="177">
        <v>26</v>
      </c>
      <c r="GQ5" s="177">
        <v>1</v>
      </c>
      <c r="GR5" s="178">
        <v>1</v>
      </c>
      <c r="GS5" s="175">
        <v>1</v>
      </c>
      <c r="GT5" s="175">
        <v>0</v>
      </c>
      <c r="GU5" s="179">
        <v>0.038</v>
      </c>
      <c r="GV5" s="175">
        <v>0</v>
      </c>
      <c r="GW5" s="180">
        <v>0</v>
      </c>
      <c r="GX5" s="181">
        <v>1</v>
      </c>
      <c r="GY5" s="182">
        <v>0.00390625</v>
      </c>
      <c r="GZ5" s="183">
        <v>77</v>
      </c>
    </row>
    <row r="6" s="100" customFormat="1" ht="39" customHeight="1" spans="1:208">
      <c r="A6" s="160">
        <v>2</v>
      </c>
      <c r="B6" s="184" t="s">
        <v>21</v>
      </c>
      <c r="C6" s="162">
        <f t="shared" ref="C6:C22" si="1">AD6+BC6+CB6+DA6+DZ6+EY6+FZ6</f>
        <v>441404.44</v>
      </c>
      <c r="D6" s="162">
        <f t="shared" ref="D6:D22" si="2">AE6+BD6+CC6+DB6+EA6+EZ6+GA6</f>
        <v>6925.5</v>
      </c>
      <c r="E6" s="162">
        <f t="shared" ref="E6:E22" si="3">AF6+BE6+CD6+DC6+EB6+FA6+GB6</f>
        <v>448329.94</v>
      </c>
      <c r="F6" s="162">
        <f t="shared" ref="F6:F22" si="4">AG6+BF6+CE6+DD6+EC6+FB6+GC6</f>
        <v>563</v>
      </c>
      <c r="G6" s="162">
        <f t="shared" ref="G6:G22" si="5">AH6+BG6+CF6+DE6+ED6+FC6+GD6</f>
        <v>847</v>
      </c>
      <c r="H6" s="162">
        <f t="shared" ref="H6:H22" si="6">AI6+BH6+CG6+DF6+EE6+FD6+GE6</f>
        <v>6156</v>
      </c>
      <c r="I6" s="162">
        <f t="shared" ref="I6:I22" si="7">AJ6+BI6+CH6+DG6+EF6+FE6+GF6</f>
        <v>5775</v>
      </c>
      <c r="J6" s="162">
        <f t="shared" ref="J6:J22" si="8">AK6+BJ6+CI6+DH6+EG6+FF6+GG6</f>
        <v>160</v>
      </c>
      <c r="K6" s="162">
        <f t="shared" ref="K6:K22" si="9">AL6+BK6+CJ6+DI6+EH6+FG6+GH6</f>
        <v>257</v>
      </c>
      <c r="L6" s="162">
        <f t="shared" ref="L6:L22" si="10">AM6+BL6+CK6+DJ6+EI6+FH6+GI6</f>
        <v>6039</v>
      </c>
      <c r="M6" s="162">
        <f t="shared" ref="M6:M22" si="11">AN6+BM6+CL6+DK6+EJ6+FI6+GJ6</f>
        <v>110</v>
      </c>
      <c r="N6" s="162">
        <f t="shared" ref="N6:N22" si="12">AO6+BN6+CM6+DL6+EK6+FJ6+GK6</f>
        <v>6618</v>
      </c>
      <c r="O6" s="163">
        <f t="shared" ref="O6:O22" si="13">E6/N6</f>
        <v>67.7440223632517</v>
      </c>
      <c r="P6" s="162">
        <f t="shared" ref="P6:P22" si="14">AQ6+BP6+CO6+DN6+EM6+FL6+GM6</f>
        <v>196</v>
      </c>
      <c r="Q6" s="162">
        <f t="shared" ref="Q6:Q22" si="15">AR6+BQ6+CP6+DO6+EN6+FM6+GN6</f>
        <v>4</v>
      </c>
      <c r="R6" s="164">
        <f t="shared" ref="R6:R22" si="16">AS6+BR6+CQ6+DP6+EO6+FN6+GO6</f>
        <v>200</v>
      </c>
      <c r="S6" s="164">
        <v>30</v>
      </c>
      <c r="T6" s="164">
        <v>4</v>
      </c>
      <c r="U6" s="165">
        <f t="shared" ref="U6:U22" si="17">AT6+BS6+CR6+DQ6+EP6+FQ6+GR6</f>
        <v>59</v>
      </c>
      <c r="V6" s="162">
        <f t="shared" ref="V6:V22" si="18">AU6+BT6+CS6+DR6+EQ6+FR6+GS6</f>
        <v>59</v>
      </c>
      <c r="W6" s="162">
        <f t="shared" ref="W6:W22" si="19">AV6+BU6+CT6+DS6+ER6+FS6+GT6</f>
        <v>0</v>
      </c>
      <c r="X6" s="166">
        <v>0.1333</v>
      </c>
      <c r="Y6" s="162">
        <f t="shared" ref="Y6:Y22" si="20">AX6+BW6+CV6+DU6+ET6+FU6+GV6</f>
        <v>0</v>
      </c>
      <c r="Z6" s="167">
        <f t="shared" ref="Z6:Z22" si="21">AY6+BX6+CW6+DV6+EU6+FV6+GW6</f>
        <v>0</v>
      </c>
      <c r="AA6" s="168">
        <f t="shared" ref="AA6:AA22" si="22">AZ6+BY6+CX6+DW6+EV6+FW6+GX6</f>
        <v>59</v>
      </c>
      <c r="AB6" s="169">
        <f t="shared" ref="AB6:AB22" si="23">AA6/N6</f>
        <v>0.00891508008461771</v>
      </c>
      <c r="AC6" s="170"/>
      <c r="AD6" s="185">
        <v>62531.25</v>
      </c>
      <c r="AE6" s="172">
        <v>0</v>
      </c>
      <c r="AF6" s="172">
        <v>62531.25</v>
      </c>
      <c r="AG6" s="172">
        <v>87</v>
      </c>
      <c r="AH6" s="172">
        <v>103</v>
      </c>
      <c r="AI6" s="172">
        <v>869</v>
      </c>
      <c r="AJ6" s="171">
        <v>812</v>
      </c>
      <c r="AK6" s="171">
        <v>12</v>
      </c>
      <c r="AL6" s="171">
        <v>45</v>
      </c>
      <c r="AM6" s="171">
        <v>759</v>
      </c>
      <c r="AN6" s="171">
        <v>25</v>
      </c>
      <c r="AO6" s="171">
        <v>838</v>
      </c>
      <c r="AP6" s="173">
        <v>74.619630071599</v>
      </c>
      <c r="AQ6" s="171">
        <v>25</v>
      </c>
      <c r="AR6" s="171">
        <v>0</v>
      </c>
      <c r="AS6" s="171">
        <v>25</v>
      </c>
      <c r="AT6" s="171">
        <v>6</v>
      </c>
      <c r="AU6" s="171">
        <v>6</v>
      </c>
      <c r="AV6" s="171">
        <v>0</v>
      </c>
      <c r="AW6" s="174">
        <v>0.12</v>
      </c>
      <c r="AX6" s="171">
        <v>0</v>
      </c>
      <c r="AY6" s="174">
        <v>0</v>
      </c>
      <c r="AZ6" s="171">
        <v>6</v>
      </c>
      <c r="BA6" s="174">
        <v>0.00715990453460621</v>
      </c>
      <c r="BB6" s="171">
        <v>288</v>
      </c>
      <c r="BC6" s="185">
        <v>26762.36</v>
      </c>
      <c r="BD6" s="172">
        <v>0</v>
      </c>
      <c r="BE6" s="172">
        <v>26762.36</v>
      </c>
      <c r="BF6" s="172">
        <v>88</v>
      </c>
      <c r="BG6" s="172">
        <v>119</v>
      </c>
      <c r="BH6" s="172">
        <v>495</v>
      </c>
      <c r="BI6" s="171">
        <v>456</v>
      </c>
      <c r="BJ6" s="171">
        <v>7</v>
      </c>
      <c r="BK6" s="171">
        <v>32</v>
      </c>
      <c r="BL6" s="171">
        <v>465</v>
      </c>
      <c r="BM6" s="171">
        <v>9</v>
      </c>
      <c r="BN6" s="171">
        <v>451</v>
      </c>
      <c r="BO6" s="173">
        <v>59.340044345898</v>
      </c>
      <c r="BP6" s="171">
        <v>13</v>
      </c>
      <c r="BQ6" s="171">
        <v>0</v>
      </c>
      <c r="BR6" s="171">
        <v>13</v>
      </c>
      <c r="BS6" s="171">
        <v>3</v>
      </c>
      <c r="BT6" s="171">
        <v>3</v>
      </c>
      <c r="BU6" s="171">
        <v>0</v>
      </c>
      <c r="BV6" s="174">
        <v>0.23</v>
      </c>
      <c r="BW6" s="171">
        <v>0</v>
      </c>
      <c r="BX6" s="174">
        <v>0</v>
      </c>
      <c r="BY6" s="171">
        <v>3</v>
      </c>
      <c r="BZ6" s="174">
        <v>0.00665188470066519</v>
      </c>
      <c r="CA6" s="171">
        <v>183</v>
      </c>
      <c r="CB6" s="185">
        <v>69665.23</v>
      </c>
      <c r="CC6" s="172">
        <v>3925.5</v>
      </c>
      <c r="CD6" s="172">
        <v>73590.73</v>
      </c>
      <c r="CE6" s="172">
        <v>79</v>
      </c>
      <c r="CF6" s="172">
        <v>131</v>
      </c>
      <c r="CG6" s="172">
        <v>1446</v>
      </c>
      <c r="CH6" s="171">
        <v>1309</v>
      </c>
      <c r="CI6" s="171">
        <v>49</v>
      </c>
      <c r="CJ6" s="171">
        <v>88</v>
      </c>
      <c r="CK6" s="171">
        <v>687</v>
      </c>
      <c r="CL6" s="171">
        <v>25</v>
      </c>
      <c r="CM6" s="171">
        <v>1341</v>
      </c>
      <c r="CN6" s="173">
        <v>54.8775018642804</v>
      </c>
      <c r="CO6" s="171">
        <v>24</v>
      </c>
      <c r="CP6" s="171">
        <v>2</v>
      </c>
      <c r="CQ6" s="171">
        <v>26</v>
      </c>
      <c r="CR6" s="171">
        <v>9</v>
      </c>
      <c r="CS6" s="171">
        <v>9</v>
      </c>
      <c r="CT6" s="171">
        <v>0</v>
      </c>
      <c r="CU6" s="174">
        <v>0.13</v>
      </c>
      <c r="CV6" s="171">
        <v>0</v>
      </c>
      <c r="CW6" s="174">
        <v>0</v>
      </c>
      <c r="CX6" s="171">
        <v>9</v>
      </c>
      <c r="CY6" s="174">
        <v>0.00671140939597315</v>
      </c>
      <c r="CZ6" s="171">
        <v>2</v>
      </c>
      <c r="DA6" s="185">
        <v>94677.84</v>
      </c>
      <c r="DB6" s="172">
        <v>0</v>
      </c>
      <c r="DC6" s="172">
        <v>94677.84</v>
      </c>
      <c r="DD6" s="172">
        <v>93</v>
      </c>
      <c r="DE6" s="172">
        <v>163</v>
      </c>
      <c r="DF6" s="172">
        <v>1054</v>
      </c>
      <c r="DG6" s="171">
        <v>1045</v>
      </c>
      <c r="DH6" s="171">
        <v>5</v>
      </c>
      <c r="DI6" s="171">
        <v>40</v>
      </c>
      <c r="DJ6" s="171">
        <v>1834</v>
      </c>
      <c r="DK6" s="171">
        <v>38</v>
      </c>
      <c r="DL6" s="171">
        <v>1751</v>
      </c>
      <c r="DM6" s="173">
        <v>54.0707252998287</v>
      </c>
      <c r="DN6" s="171">
        <v>51</v>
      </c>
      <c r="DO6" s="171">
        <v>0</v>
      </c>
      <c r="DP6" s="171">
        <v>51</v>
      </c>
      <c r="DQ6" s="171">
        <v>12</v>
      </c>
      <c r="DR6" s="171">
        <v>12</v>
      </c>
      <c r="DS6" s="171">
        <v>0</v>
      </c>
      <c r="DT6" s="174">
        <v>0.1043</v>
      </c>
      <c r="DU6" s="171">
        <v>0</v>
      </c>
      <c r="DV6" s="174">
        <v>0</v>
      </c>
      <c r="DW6" s="171">
        <v>12</v>
      </c>
      <c r="DX6" s="174">
        <v>0.00685322672758424</v>
      </c>
      <c r="DY6" s="171">
        <v>269</v>
      </c>
      <c r="DZ6" s="185">
        <v>120493.48</v>
      </c>
      <c r="EA6" s="172">
        <v>3000</v>
      </c>
      <c r="EB6" s="172">
        <v>123493.48</v>
      </c>
      <c r="EC6" s="172">
        <v>90</v>
      </c>
      <c r="ED6" s="172">
        <v>129</v>
      </c>
      <c r="EE6" s="172">
        <v>1412</v>
      </c>
      <c r="EF6" s="171">
        <v>1283</v>
      </c>
      <c r="EG6" s="171">
        <v>87</v>
      </c>
      <c r="EH6" s="171">
        <v>42</v>
      </c>
      <c r="EI6" s="171">
        <v>1414</v>
      </c>
      <c r="EJ6" s="171">
        <v>13</v>
      </c>
      <c r="EK6" s="171">
        <v>1367</v>
      </c>
      <c r="EL6" s="173">
        <v>90.339049012436</v>
      </c>
      <c r="EM6" s="171">
        <v>42</v>
      </c>
      <c r="EN6" s="171">
        <v>2</v>
      </c>
      <c r="EO6" s="171">
        <v>44</v>
      </c>
      <c r="EP6" s="171">
        <v>18</v>
      </c>
      <c r="EQ6" s="171">
        <v>18</v>
      </c>
      <c r="ER6" s="171">
        <v>0</v>
      </c>
      <c r="ES6" s="174">
        <v>0.11</v>
      </c>
      <c r="ET6" s="171">
        <v>0</v>
      </c>
      <c r="EU6" s="174">
        <v>0</v>
      </c>
      <c r="EV6" s="171">
        <v>18</v>
      </c>
      <c r="EW6" s="174">
        <v>0.0131675201170446</v>
      </c>
      <c r="EX6" s="171">
        <v>15</v>
      </c>
      <c r="EY6" s="177">
        <v>44628.54</v>
      </c>
      <c r="EZ6" s="177">
        <v>0</v>
      </c>
      <c r="FA6" s="177">
        <v>44628.54</v>
      </c>
      <c r="FB6" s="177">
        <v>92</v>
      </c>
      <c r="FC6" s="177">
        <v>166</v>
      </c>
      <c r="FD6" s="177">
        <v>620</v>
      </c>
      <c r="FE6" s="177">
        <v>620</v>
      </c>
      <c r="FF6" s="177">
        <v>0</v>
      </c>
      <c r="FG6" s="177">
        <v>0</v>
      </c>
      <c r="FH6" s="177">
        <v>620</v>
      </c>
      <c r="FI6" s="177">
        <v>0</v>
      </c>
      <c r="FJ6" s="177">
        <v>620</v>
      </c>
      <c r="FK6" s="176">
        <v>71.9815161290323</v>
      </c>
      <c r="FL6" s="177">
        <v>32</v>
      </c>
      <c r="FM6" s="177">
        <v>0</v>
      </c>
      <c r="FN6" s="177">
        <v>32</v>
      </c>
      <c r="FO6" s="177">
        <v>86</v>
      </c>
      <c r="FP6" s="177">
        <v>26</v>
      </c>
      <c r="FQ6" s="178">
        <v>7</v>
      </c>
      <c r="FR6" s="177">
        <v>7</v>
      </c>
      <c r="FS6" s="177">
        <v>0</v>
      </c>
      <c r="FT6" s="182">
        <v>0.081</v>
      </c>
      <c r="FU6" s="177">
        <v>0</v>
      </c>
      <c r="FV6" s="182">
        <v>0</v>
      </c>
      <c r="FW6" s="181">
        <v>7</v>
      </c>
      <c r="FX6" s="182">
        <v>0.0112903225806452</v>
      </c>
      <c r="FY6" s="183">
        <v>236</v>
      </c>
      <c r="FZ6" s="177">
        <v>22645.74</v>
      </c>
      <c r="GA6" s="177">
        <v>0</v>
      </c>
      <c r="GB6" s="177">
        <v>22645.74</v>
      </c>
      <c r="GC6" s="177">
        <v>34</v>
      </c>
      <c r="GD6" s="177">
        <v>36</v>
      </c>
      <c r="GE6" s="177">
        <v>260</v>
      </c>
      <c r="GF6" s="177">
        <v>250</v>
      </c>
      <c r="GG6" s="177">
        <v>0</v>
      </c>
      <c r="GH6" s="177">
        <v>10</v>
      </c>
      <c r="GI6" s="177">
        <v>260</v>
      </c>
      <c r="GJ6" s="177">
        <v>0</v>
      </c>
      <c r="GK6" s="177">
        <v>250</v>
      </c>
      <c r="GL6" s="176">
        <v>90.58296</v>
      </c>
      <c r="GM6" s="177">
        <v>9</v>
      </c>
      <c r="GN6" s="177">
        <v>0</v>
      </c>
      <c r="GO6" s="177">
        <v>9</v>
      </c>
      <c r="GP6" s="177">
        <v>30</v>
      </c>
      <c r="GQ6" s="177">
        <v>4</v>
      </c>
      <c r="GR6" s="178">
        <v>4</v>
      </c>
      <c r="GS6" s="177">
        <v>4</v>
      </c>
      <c r="GT6" s="177">
        <v>0</v>
      </c>
      <c r="GU6" s="182">
        <v>0.1333</v>
      </c>
      <c r="GV6" s="177">
        <v>0</v>
      </c>
      <c r="GW6" s="182">
        <v>0</v>
      </c>
      <c r="GX6" s="181">
        <v>4</v>
      </c>
      <c r="GY6" s="182">
        <v>0.016</v>
      </c>
      <c r="GZ6" s="183"/>
    </row>
    <row r="7" s="100" customFormat="1" ht="39" customHeight="1" spans="1:208">
      <c r="A7" s="160">
        <v>3</v>
      </c>
      <c r="B7" s="186" t="s">
        <v>22</v>
      </c>
      <c r="C7" s="162">
        <f t="shared" si="1"/>
        <v>346441.97</v>
      </c>
      <c r="D7" s="162">
        <f t="shared" si="2"/>
        <v>109443.11</v>
      </c>
      <c r="E7" s="162">
        <f t="shared" si="3"/>
        <v>455885.08</v>
      </c>
      <c r="F7" s="162">
        <f t="shared" si="4"/>
        <v>625</v>
      </c>
      <c r="G7" s="162">
        <f t="shared" si="5"/>
        <v>1105</v>
      </c>
      <c r="H7" s="162">
        <f t="shared" si="6"/>
        <v>6353</v>
      </c>
      <c r="I7" s="162">
        <f t="shared" si="7"/>
        <v>4677</v>
      </c>
      <c r="J7" s="162">
        <f t="shared" si="8"/>
        <v>1365</v>
      </c>
      <c r="K7" s="162">
        <f t="shared" si="9"/>
        <v>311</v>
      </c>
      <c r="L7" s="162">
        <f t="shared" si="10"/>
        <v>5863</v>
      </c>
      <c r="M7" s="162">
        <f t="shared" si="11"/>
        <v>71</v>
      </c>
      <c r="N7" s="162">
        <f t="shared" si="12"/>
        <v>6121</v>
      </c>
      <c r="O7" s="163">
        <f t="shared" si="13"/>
        <v>74.4788563960137</v>
      </c>
      <c r="P7" s="162">
        <f t="shared" si="14"/>
        <v>284</v>
      </c>
      <c r="Q7" s="162">
        <f t="shared" si="15"/>
        <v>4</v>
      </c>
      <c r="R7" s="164">
        <f t="shared" si="16"/>
        <v>288</v>
      </c>
      <c r="S7" s="164">
        <v>40</v>
      </c>
      <c r="T7" s="164">
        <v>11</v>
      </c>
      <c r="U7" s="165">
        <f t="shared" si="17"/>
        <v>103</v>
      </c>
      <c r="V7" s="162">
        <f t="shared" si="18"/>
        <v>102</v>
      </c>
      <c r="W7" s="162">
        <f t="shared" si="19"/>
        <v>1</v>
      </c>
      <c r="X7" s="166">
        <v>0.25</v>
      </c>
      <c r="Y7" s="162">
        <f t="shared" si="20"/>
        <v>0</v>
      </c>
      <c r="Z7" s="167">
        <f t="shared" si="21"/>
        <v>0</v>
      </c>
      <c r="AA7" s="168">
        <f t="shared" si="22"/>
        <v>103</v>
      </c>
      <c r="AB7" s="169">
        <f t="shared" si="23"/>
        <v>0.0168273157980722</v>
      </c>
      <c r="AC7" s="170">
        <v>263</v>
      </c>
      <c r="AD7" s="185">
        <v>68020.21</v>
      </c>
      <c r="AE7" s="187">
        <v>30054.05</v>
      </c>
      <c r="AF7" s="172">
        <v>98074.26</v>
      </c>
      <c r="AG7" s="171">
        <v>94</v>
      </c>
      <c r="AH7" s="171">
        <v>172</v>
      </c>
      <c r="AI7" s="172">
        <v>1160</v>
      </c>
      <c r="AJ7" s="171">
        <v>794</v>
      </c>
      <c r="AK7" s="171">
        <v>223</v>
      </c>
      <c r="AL7" s="171">
        <v>143</v>
      </c>
      <c r="AM7" s="171">
        <v>1014</v>
      </c>
      <c r="AN7" s="171">
        <v>18</v>
      </c>
      <c r="AO7" s="171">
        <v>1021</v>
      </c>
      <c r="AP7" s="173">
        <v>96.0570617042116</v>
      </c>
      <c r="AQ7" s="171">
        <v>25</v>
      </c>
      <c r="AR7" s="171">
        <v>2</v>
      </c>
      <c r="AS7" s="171">
        <v>27</v>
      </c>
      <c r="AT7" s="171">
        <v>6</v>
      </c>
      <c r="AU7" s="171">
        <v>6</v>
      </c>
      <c r="AV7" s="171">
        <v>0</v>
      </c>
      <c r="AW7" s="174">
        <v>0.06</v>
      </c>
      <c r="AX7" s="171">
        <v>0</v>
      </c>
      <c r="AY7" s="174">
        <v>0</v>
      </c>
      <c r="AZ7" s="171">
        <v>6</v>
      </c>
      <c r="BA7" s="174">
        <v>0.00587659157688541</v>
      </c>
      <c r="BB7" s="171">
        <v>315</v>
      </c>
      <c r="BC7" s="185">
        <v>49912.45</v>
      </c>
      <c r="BD7" s="187">
        <v>18274.88</v>
      </c>
      <c r="BE7" s="172">
        <v>68187.33</v>
      </c>
      <c r="BF7" s="171">
        <v>97</v>
      </c>
      <c r="BG7" s="171">
        <v>136</v>
      </c>
      <c r="BH7" s="172">
        <v>681</v>
      </c>
      <c r="BI7" s="171">
        <v>562</v>
      </c>
      <c r="BJ7" s="171">
        <v>84</v>
      </c>
      <c r="BK7" s="171">
        <v>35</v>
      </c>
      <c r="BL7" s="171">
        <v>594</v>
      </c>
      <c r="BM7" s="171">
        <v>3</v>
      </c>
      <c r="BN7" s="171">
        <v>608</v>
      </c>
      <c r="BO7" s="173">
        <v>112.150213815789</v>
      </c>
      <c r="BP7" s="171">
        <v>21</v>
      </c>
      <c r="BQ7" s="171">
        <v>0</v>
      </c>
      <c r="BR7" s="171">
        <v>21</v>
      </c>
      <c r="BS7" s="171">
        <v>13</v>
      </c>
      <c r="BT7" s="171">
        <v>13</v>
      </c>
      <c r="BU7" s="171">
        <v>0</v>
      </c>
      <c r="BV7" s="174">
        <v>0.6</v>
      </c>
      <c r="BW7" s="171">
        <v>0</v>
      </c>
      <c r="BX7" s="174">
        <v>0</v>
      </c>
      <c r="BY7" s="171">
        <v>13</v>
      </c>
      <c r="BZ7" s="174">
        <v>0.0213815789473684</v>
      </c>
      <c r="CA7" s="188">
        <v>207</v>
      </c>
      <c r="CB7" s="185">
        <v>45981.03</v>
      </c>
      <c r="CC7" s="187">
        <v>27252.22</v>
      </c>
      <c r="CD7" s="172">
        <v>73233.25</v>
      </c>
      <c r="CE7" s="171">
        <v>77</v>
      </c>
      <c r="CF7" s="171">
        <v>218</v>
      </c>
      <c r="CG7" s="172">
        <v>902</v>
      </c>
      <c r="CH7" s="171">
        <v>681</v>
      </c>
      <c r="CI7" s="171">
        <v>189</v>
      </c>
      <c r="CJ7" s="171">
        <v>32</v>
      </c>
      <c r="CK7" s="171">
        <v>988</v>
      </c>
      <c r="CL7" s="171">
        <v>14</v>
      </c>
      <c r="CM7" s="171">
        <v>979</v>
      </c>
      <c r="CN7" s="173">
        <v>74.8041368743616</v>
      </c>
      <c r="CO7" s="171">
        <v>31</v>
      </c>
      <c r="CP7" s="171">
        <v>0</v>
      </c>
      <c r="CQ7" s="171">
        <v>31</v>
      </c>
      <c r="CR7" s="171">
        <v>17</v>
      </c>
      <c r="CS7" s="171">
        <v>17</v>
      </c>
      <c r="CT7" s="171">
        <v>0</v>
      </c>
      <c r="CU7" s="174">
        <v>0.346</v>
      </c>
      <c r="CV7" s="171">
        <v>0</v>
      </c>
      <c r="CW7" s="174">
        <v>0</v>
      </c>
      <c r="CX7" s="171">
        <v>17</v>
      </c>
      <c r="CY7" s="174">
        <v>0.017364657814096</v>
      </c>
      <c r="CZ7" s="188">
        <v>186</v>
      </c>
      <c r="DA7" s="185">
        <v>54056.11</v>
      </c>
      <c r="DB7" s="187">
        <v>13435.97</v>
      </c>
      <c r="DC7" s="172">
        <v>67492.08</v>
      </c>
      <c r="DD7" s="171">
        <v>97</v>
      </c>
      <c r="DE7" s="171">
        <v>197</v>
      </c>
      <c r="DF7" s="172">
        <v>1112</v>
      </c>
      <c r="DG7" s="171">
        <v>955</v>
      </c>
      <c r="DH7" s="171">
        <v>137</v>
      </c>
      <c r="DI7" s="171">
        <v>20</v>
      </c>
      <c r="DJ7" s="171">
        <v>974</v>
      </c>
      <c r="DK7" s="171">
        <v>6</v>
      </c>
      <c r="DL7" s="171">
        <v>1087</v>
      </c>
      <c r="DM7" s="173">
        <v>62.0902299908004</v>
      </c>
      <c r="DN7" s="171">
        <v>60</v>
      </c>
      <c r="DO7" s="171">
        <v>0</v>
      </c>
      <c r="DP7" s="171">
        <v>60</v>
      </c>
      <c r="DQ7" s="171">
        <v>16</v>
      </c>
      <c r="DR7" s="171">
        <v>16</v>
      </c>
      <c r="DS7" s="171">
        <v>0</v>
      </c>
      <c r="DT7" s="174">
        <v>0.1</v>
      </c>
      <c r="DU7" s="171">
        <v>0</v>
      </c>
      <c r="DV7" s="174">
        <v>0</v>
      </c>
      <c r="DW7" s="171">
        <v>16</v>
      </c>
      <c r="DX7" s="174">
        <v>0.0147194112235511</v>
      </c>
      <c r="DY7" s="171">
        <v>147</v>
      </c>
      <c r="DZ7" s="185">
        <v>46847</v>
      </c>
      <c r="EA7" s="187">
        <v>1143</v>
      </c>
      <c r="EB7" s="185">
        <v>47990</v>
      </c>
      <c r="EC7" s="171">
        <v>115</v>
      </c>
      <c r="ED7" s="171">
        <v>165</v>
      </c>
      <c r="EE7" s="172">
        <v>1084</v>
      </c>
      <c r="EF7" s="171">
        <v>673</v>
      </c>
      <c r="EG7" s="171">
        <v>353</v>
      </c>
      <c r="EH7" s="171">
        <v>58</v>
      </c>
      <c r="EI7" s="171">
        <v>896</v>
      </c>
      <c r="EJ7" s="171">
        <v>30</v>
      </c>
      <c r="EK7" s="171">
        <v>1026</v>
      </c>
      <c r="EL7" s="173">
        <v>46.7738791423002</v>
      </c>
      <c r="EM7" s="171">
        <v>61</v>
      </c>
      <c r="EN7" s="171">
        <v>0</v>
      </c>
      <c r="EO7" s="171">
        <v>61</v>
      </c>
      <c r="EP7" s="171">
        <v>20</v>
      </c>
      <c r="EQ7" s="171">
        <v>20</v>
      </c>
      <c r="ER7" s="171">
        <v>0</v>
      </c>
      <c r="ES7" s="174">
        <v>0.233</v>
      </c>
      <c r="ET7" s="171">
        <v>0</v>
      </c>
      <c r="EU7" s="174">
        <v>0</v>
      </c>
      <c r="EV7" s="171">
        <v>20</v>
      </c>
      <c r="EW7" s="174">
        <v>0.0194931773879142</v>
      </c>
      <c r="EX7" s="171">
        <v>230</v>
      </c>
      <c r="EY7" s="177">
        <v>55103.34</v>
      </c>
      <c r="EZ7" s="177">
        <v>15228.73</v>
      </c>
      <c r="FA7" s="177">
        <v>70332.07</v>
      </c>
      <c r="FB7" s="177">
        <v>107</v>
      </c>
      <c r="FC7" s="177">
        <v>167</v>
      </c>
      <c r="FD7" s="177">
        <v>1014</v>
      </c>
      <c r="FE7" s="177">
        <v>666</v>
      </c>
      <c r="FF7" s="177">
        <v>332</v>
      </c>
      <c r="FG7" s="177">
        <v>16</v>
      </c>
      <c r="FH7" s="177">
        <v>1014</v>
      </c>
      <c r="FI7" s="177">
        <v>0</v>
      </c>
      <c r="FJ7" s="177">
        <v>1014</v>
      </c>
      <c r="FK7" s="176">
        <v>69.3610157790927</v>
      </c>
      <c r="FL7" s="177">
        <v>65</v>
      </c>
      <c r="FM7" s="177">
        <v>1</v>
      </c>
      <c r="FN7" s="177">
        <v>66</v>
      </c>
      <c r="FO7" s="177">
        <v>91</v>
      </c>
      <c r="FP7" s="177">
        <v>27</v>
      </c>
      <c r="FQ7" s="178">
        <v>20</v>
      </c>
      <c r="FR7" s="177">
        <v>19</v>
      </c>
      <c r="FS7" s="177">
        <v>1</v>
      </c>
      <c r="FT7" s="182">
        <v>0.219</v>
      </c>
      <c r="FU7" s="177">
        <v>0</v>
      </c>
      <c r="FV7" s="182">
        <v>0</v>
      </c>
      <c r="FW7" s="181">
        <v>20</v>
      </c>
      <c r="FX7" s="182">
        <v>0.019723865877712</v>
      </c>
      <c r="FY7" s="183">
        <v>185</v>
      </c>
      <c r="FZ7" s="177">
        <v>26521.83</v>
      </c>
      <c r="GA7" s="177">
        <v>4054.26</v>
      </c>
      <c r="GB7" s="177">
        <v>30576.09</v>
      </c>
      <c r="GC7" s="177">
        <v>38</v>
      </c>
      <c r="GD7" s="177">
        <v>50</v>
      </c>
      <c r="GE7" s="177">
        <v>400</v>
      </c>
      <c r="GF7" s="177">
        <v>346</v>
      </c>
      <c r="GG7" s="177">
        <v>47</v>
      </c>
      <c r="GH7" s="177">
        <v>7</v>
      </c>
      <c r="GI7" s="177">
        <v>383</v>
      </c>
      <c r="GJ7" s="177">
        <v>0</v>
      </c>
      <c r="GK7" s="177">
        <v>386</v>
      </c>
      <c r="GL7" s="176">
        <v>79.2126683937824</v>
      </c>
      <c r="GM7" s="177">
        <v>21</v>
      </c>
      <c r="GN7" s="177">
        <v>1</v>
      </c>
      <c r="GO7" s="177">
        <v>22</v>
      </c>
      <c r="GP7" s="177">
        <v>40</v>
      </c>
      <c r="GQ7" s="177">
        <v>11</v>
      </c>
      <c r="GR7" s="178">
        <v>11</v>
      </c>
      <c r="GS7" s="177">
        <v>11</v>
      </c>
      <c r="GT7" s="177">
        <v>0</v>
      </c>
      <c r="GU7" s="182">
        <v>0.25</v>
      </c>
      <c r="GV7" s="177">
        <v>0</v>
      </c>
      <c r="GW7" s="182">
        <v>0</v>
      </c>
      <c r="GX7" s="181">
        <v>11</v>
      </c>
      <c r="GY7" s="182">
        <v>0.0284974093264249</v>
      </c>
      <c r="GZ7" s="183">
        <v>263</v>
      </c>
    </row>
    <row r="8" s="100" customFormat="1" ht="39" customHeight="1" spans="1:208">
      <c r="A8" s="160">
        <v>4</v>
      </c>
      <c r="B8" s="184" t="s">
        <v>23</v>
      </c>
      <c r="C8" s="162">
        <f t="shared" si="1"/>
        <v>224870.74</v>
      </c>
      <c r="D8" s="162">
        <f t="shared" si="2"/>
        <v>77650.68</v>
      </c>
      <c r="E8" s="162">
        <f t="shared" si="3"/>
        <v>302521.42</v>
      </c>
      <c r="F8" s="162">
        <f t="shared" si="4"/>
        <v>923</v>
      </c>
      <c r="G8" s="162">
        <f t="shared" si="5"/>
        <v>962</v>
      </c>
      <c r="H8" s="162">
        <f t="shared" si="6"/>
        <v>4306</v>
      </c>
      <c r="I8" s="162">
        <f t="shared" si="7"/>
        <v>2579</v>
      </c>
      <c r="J8" s="162">
        <f t="shared" si="8"/>
        <v>1317</v>
      </c>
      <c r="K8" s="162">
        <f t="shared" si="9"/>
        <v>410</v>
      </c>
      <c r="L8" s="162">
        <f t="shared" si="10"/>
        <v>3364</v>
      </c>
      <c r="M8" s="162">
        <f t="shared" si="11"/>
        <v>419</v>
      </c>
      <c r="N8" s="162">
        <f t="shared" si="12"/>
        <v>3370</v>
      </c>
      <c r="O8" s="163">
        <f t="shared" si="13"/>
        <v>89.7689673590505</v>
      </c>
      <c r="P8" s="162">
        <f t="shared" si="14"/>
        <v>124</v>
      </c>
      <c r="Q8" s="162">
        <f t="shared" si="15"/>
        <v>31</v>
      </c>
      <c r="R8" s="164">
        <f t="shared" si="16"/>
        <v>155</v>
      </c>
      <c r="S8" s="164">
        <v>9</v>
      </c>
      <c r="T8" s="164">
        <v>1</v>
      </c>
      <c r="U8" s="165">
        <f t="shared" si="17"/>
        <v>40</v>
      </c>
      <c r="V8" s="162">
        <f t="shared" si="18"/>
        <v>31</v>
      </c>
      <c r="W8" s="162">
        <f t="shared" si="19"/>
        <v>9</v>
      </c>
      <c r="X8" s="166">
        <v>0.44</v>
      </c>
      <c r="Y8" s="162">
        <f t="shared" si="20"/>
        <v>0</v>
      </c>
      <c r="Z8" s="167">
        <f t="shared" si="21"/>
        <v>0</v>
      </c>
      <c r="AA8" s="168">
        <f t="shared" si="22"/>
        <v>40</v>
      </c>
      <c r="AB8" s="169">
        <f t="shared" si="23"/>
        <v>0.0118694362017804</v>
      </c>
      <c r="AC8" s="170">
        <v>133</v>
      </c>
      <c r="AD8" s="185">
        <v>33306</v>
      </c>
      <c r="AE8" s="172">
        <v>18161</v>
      </c>
      <c r="AF8" s="172">
        <v>51467</v>
      </c>
      <c r="AG8" s="172">
        <v>141</v>
      </c>
      <c r="AH8" s="172">
        <v>137</v>
      </c>
      <c r="AI8" s="172">
        <v>579</v>
      </c>
      <c r="AJ8" s="171">
        <v>303</v>
      </c>
      <c r="AK8" s="171">
        <v>234</v>
      </c>
      <c r="AL8" s="171">
        <v>42</v>
      </c>
      <c r="AM8" s="171">
        <v>468</v>
      </c>
      <c r="AN8" s="171">
        <v>47</v>
      </c>
      <c r="AO8" s="171">
        <v>490</v>
      </c>
      <c r="AP8" s="173">
        <v>105.034693877551</v>
      </c>
      <c r="AQ8" s="171">
        <v>14</v>
      </c>
      <c r="AR8" s="171">
        <v>8</v>
      </c>
      <c r="AS8" s="171">
        <v>22</v>
      </c>
      <c r="AT8" s="171">
        <v>7</v>
      </c>
      <c r="AU8" s="171">
        <v>3</v>
      </c>
      <c r="AV8" s="171">
        <v>4</v>
      </c>
      <c r="AW8" s="174">
        <v>0.12</v>
      </c>
      <c r="AX8" s="171">
        <v>0</v>
      </c>
      <c r="AY8" s="174">
        <v>0</v>
      </c>
      <c r="AZ8" s="171">
        <v>7</v>
      </c>
      <c r="BA8" s="174">
        <v>0.0142857142857143</v>
      </c>
      <c r="BB8" s="171">
        <v>167</v>
      </c>
      <c r="BC8" s="185">
        <v>13103.99</v>
      </c>
      <c r="BD8" s="172">
        <v>8591.8</v>
      </c>
      <c r="BE8" s="172">
        <v>21695.79</v>
      </c>
      <c r="BF8" s="172">
        <v>123</v>
      </c>
      <c r="BG8" s="172">
        <v>113</v>
      </c>
      <c r="BH8" s="172">
        <v>302</v>
      </c>
      <c r="BI8" s="171">
        <v>128</v>
      </c>
      <c r="BJ8" s="171">
        <v>135</v>
      </c>
      <c r="BK8" s="171">
        <v>39</v>
      </c>
      <c r="BL8" s="171">
        <v>254</v>
      </c>
      <c r="BM8" s="171">
        <v>162</v>
      </c>
      <c r="BN8" s="171">
        <v>101</v>
      </c>
      <c r="BO8" s="173">
        <v>214.809801980198</v>
      </c>
      <c r="BP8" s="171">
        <v>7</v>
      </c>
      <c r="BQ8" s="171">
        <v>1</v>
      </c>
      <c r="BR8" s="171">
        <v>8</v>
      </c>
      <c r="BS8" s="171">
        <v>3</v>
      </c>
      <c r="BT8" s="171">
        <v>2</v>
      </c>
      <c r="BU8" s="171">
        <v>1</v>
      </c>
      <c r="BV8" s="174">
        <v>0.17</v>
      </c>
      <c r="BW8" s="171">
        <v>0</v>
      </c>
      <c r="BX8" s="174">
        <v>0</v>
      </c>
      <c r="BY8" s="171">
        <v>3</v>
      </c>
      <c r="BZ8" s="174">
        <v>0.0297029702970297</v>
      </c>
      <c r="CA8" s="171"/>
      <c r="CB8" s="185">
        <v>42719.18</v>
      </c>
      <c r="CC8" s="172">
        <v>26942.88</v>
      </c>
      <c r="CD8" s="172">
        <v>69662.06</v>
      </c>
      <c r="CE8" s="172">
        <v>108</v>
      </c>
      <c r="CF8" s="172">
        <v>105</v>
      </c>
      <c r="CG8" s="172">
        <v>870</v>
      </c>
      <c r="CH8" s="171">
        <v>424</v>
      </c>
      <c r="CI8" s="171">
        <v>284</v>
      </c>
      <c r="CJ8" s="171">
        <v>162</v>
      </c>
      <c r="CK8" s="171">
        <v>656</v>
      </c>
      <c r="CL8" s="171">
        <v>40</v>
      </c>
      <c r="CM8" s="171">
        <v>623</v>
      </c>
      <c r="CN8" s="173">
        <v>111.817110754414</v>
      </c>
      <c r="CO8" s="171">
        <v>22</v>
      </c>
      <c r="CP8" s="171">
        <v>5</v>
      </c>
      <c r="CQ8" s="171">
        <v>27</v>
      </c>
      <c r="CR8" s="171">
        <v>7</v>
      </c>
      <c r="CS8" s="171">
        <v>6</v>
      </c>
      <c r="CT8" s="171">
        <v>1</v>
      </c>
      <c r="CU8" s="174">
        <v>0.18</v>
      </c>
      <c r="CV8" s="171">
        <v>0</v>
      </c>
      <c r="CW8" s="174">
        <v>0</v>
      </c>
      <c r="CX8" s="171">
        <v>7</v>
      </c>
      <c r="CY8" s="174">
        <v>0.0112359550561798</v>
      </c>
      <c r="CZ8" s="171"/>
      <c r="DA8" s="185">
        <v>21202.57</v>
      </c>
      <c r="DB8" s="172">
        <v>10046</v>
      </c>
      <c r="DC8" s="172">
        <v>31248.57</v>
      </c>
      <c r="DD8" s="172">
        <v>135</v>
      </c>
      <c r="DE8" s="172">
        <v>132</v>
      </c>
      <c r="DF8" s="172">
        <v>557</v>
      </c>
      <c r="DG8" s="171">
        <v>256</v>
      </c>
      <c r="DH8" s="171">
        <v>248</v>
      </c>
      <c r="DI8" s="171">
        <v>53</v>
      </c>
      <c r="DJ8" s="171">
        <v>433</v>
      </c>
      <c r="DK8" s="171">
        <v>38</v>
      </c>
      <c r="DL8" s="171">
        <v>456</v>
      </c>
      <c r="DM8" s="173">
        <v>68.5275657894737</v>
      </c>
      <c r="DN8" s="171">
        <v>12</v>
      </c>
      <c r="DO8" s="171">
        <v>3</v>
      </c>
      <c r="DP8" s="171">
        <v>15</v>
      </c>
      <c r="DQ8" s="171">
        <v>3</v>
      </c>
      <c r="DR8" s="171">
        <v>3</v>
      </c>
      <c r="DS8" s="171">
        <v>0</v>
      </c>
      <c r="DT8" s="174">
        <v>0.1</v>
      </c>
      <c r="DU8" s="171">
        <v>0</v>
      </c>
      <c r="DV8" s="174">
        <v>0</v>
      </c>
      <c r="DW8" s="171">
        <v>3</v>
      </c>
      <c r="DX8" s="174">
        <v>0.00657894736842105</v>
      </c>
      <c r="DY8" s="171"/>
      <c r="DZ8" s="185">
        <v>33449</v>
      </c>
      <c r="EA8" s="172">
        <v>11733</v>
      </c>
      <c r="EB8" s="172">
        <v>45182</v>
      </c>
      <c r="EC8" s="172">
        <v>143</v>
      </c>
      <c r="ED8" s="172">
        <v>151</v>
      </c>
      <c r="EE8" s="172">
        <v>682</v>
      </c>
      <c r="EF8" s="171">
        <v>373</v>
      </c>
      <c r="EG8" s="171">
        <v>257</v>
      </c>
      <c r="EH8" s="171">
        <v>52</v>
      </c>
      <c r="EI8" s="171">
        <v>520</v>
      </c>
      <c r="EJ8" s="171">
        <v>59</v>
      </c>
      <c r="EK8" s="171">
        <v>561</v>
      </c>
      <c r="EL8" s="173">
        <v>80.5383244206774</v>
      </c>
      <c r="EM8" s="171">
        <v>22</v>
      </c>
      <c r="EN8" s="171">
        <v>8</v>
      </c>
      <c r="EO8" s="171">
        <v>30</v>
      </c>
      <c r="EP8" s="171">
        <v>8</v>
      </c>
      <c r="EQ8" s="171">
        <v>5</v>
      </c>
      <c r="ER8" s="171">
        <v>3</v>
      </c>
      <c r="ES8" s="174">
        <v>0.18</v>
      </c>
      <c r="ET8" s="171">
        <v>0</v>
      </c>
      <c r="EU8" s="174">
        <v>0</v>
      </c>
      <c r="EV8" s="171">
        <v>8</v>
      </c>
      <c r="EW8" s="174">
        <v>0.0142602495543672</v>
      </c>
      <c r="EX8" s="171">
        <v>107</v>
      </c>
      <c r="EY8" s="177">
        <v>52473</v>
      </c>
      <c r="EZ8" s="177">
        <v>1648</v>
      </c>
      <c r="FA8" s="177">
        <v>54121</v>
      </c>
      <c r="FB8" s="177">
        <v>181</v>
      </c>
      <c r="FC8" s="177">
        <v>243</v>
      </c>
      <c r="FD8" s="177">
        <v>860</v>
      </c>
      <c r="FE8" s="177">
        <v>703</v>
      </c>
      <c r="FF8" s="177">
        <v>121</v>
      </c>
      <c r="FG8" s="177">
        <v>36</v>
      </c>
      <c r="FH8" s="177">
        <v>698</v>
      </c>
      <c r="FI8" s="177">
        <v>59</v>
      </c>
      <c r="FJ8" s="177">
        <v>718</v>
      </c>
      <c r="FK8" s="176">
        <v>75.3774373259053</v>
      </c>
      <c r="FL8" s="177">
        <v>31</v>
      </c>
      <c r="FM8" s="177">
        <v>0</v>
      </c>
      <c r="FN8" s="177">
        <v>31</v>
      </c>
      <c r="FO8" s="177">
        <v>45</v>
      </c>
      <c r="FP8" s="177">
        <v>11</v>
      </c>
      <c r="FQ8" s="178">
        <v>8</v>
      </c>
      <c r="FR8" s="177">
        <v>8</v>
      </c>
      <c r="FS8" s="177">
        <v>0</v>
      </c>
      <c r="FT8" s="182">
        <v>0.1778</v>
      </c>
      <c r="FU8" s="177">
        <v>0</v>
      </c>
      <c r="FV8" s="182">
        <v>0</v>
      </c>
      <c r="FW8" s="177">
        <v>8</v>
      </c>
      <c r="FX8" s="182">
        <v>0.011142061281337</v>
      </c>
      <c r="FY8" s="183">
        <v>117</v>
      </c>
      <c r="FZ8" s="177">
        <v>28617</v>
      </c>
      <c r="GA8" s="177">
        <v>528</v>
      </c>
      <c r="GB8" s="177">
        <v>29145</v>
      </c>
      <c r="GC8" s="177">
        <v>92</v>
      </c>
      <c r="GD8" s="177">
        <v>81</v>
      </c>
      <c r="GE8" s="177">
        <v>456</v>
      </c>
      <c r="GF8" s="177">
        <v>392</v>
      </c>
      <c r="GG8" s="177">
        <v>38</v>
      </c>
      <c r="GH8" s="177">
        <v>26</v>
      </c>
      <c r="GI8" s="177">
        <v>335</v>
      </c>
      <c r="GJ8" s="177">
        <v>14</v>
      </c>
      <c r="GK8" s="177">
        <v>421</v>
      </c>
      <c r="GL8" s="176">
        <v>69.2280285035629</v>
      </c>
      <c r="GM8" s="177">
        <v>16</v>
      </c>
      <c r="GN8" s="177">
        <v>6</v>
      </c>
      <c r="GO8" s="177">
        <v>22</v>
      </c>
      <c r="GP8" s="177">
        <v>9</v>
      </c>
      <c r="GQ8" s="177">
        <v>1</v>
      </c>
      <c r="GR8" s="178">
        <v>4</v>
      </c>
      <c r="GS8" s="177">
        <v>4</v>
      </c>
      <c r="GT8" s="177">
        <v>0</v>
      </c>
      <c r="GU8" s="182">
        <v>0.44</v>
      </c>
      <c r="GV8" s="177">
        <v>0</v>
      </c>
      <c r="GW8" s="182">
        <v>0</v>
      </c>
      <c r="GX8" s="177">
        <v>4</v>
      </c>
      <c r="GY8" s="182">
        <v>0.00950118764845606</v>
      </c>
      <c r="GZ8" s="183">
        <v>133</v>
      </c>
    </row>
    <row r="9" s="100" customFormat="1" ht="39" customHeight="1" spans="1:208">
      <c r="A9" s="160">
        <v>5</v>
      </c>
      <c r="B9" s="184" t="s">
        <v>24</v>
      </c>
      <c r="C9" s="162">
        <f t="shared" si="1"/>
        <v>137540.58</v>
      </c>
      <c r="D9" s="162">
        <f t="shared" si="2"/>
        <v>22631.53</v>
      </c>
      <c r="E9" s="162">
        <f t="shared" si="3"/>
        <v>160172.11</v>
      </c>
      <c r="F9" s="162">
        <f t="shared" si="4"/>
        <v>520</v>
      </c>
      <c r="G9" s="162">
        <f t="shared" si="5"/>
        <v>389</v>
      </c>
      <c r="H9" s="162">
        <f t="shared" si="6"/>
        <v>2168</v>
      </c>
      <c r="I9" s="162">
        <f t="shared" si="7"/>
        <v>1845</v>
      </c>
      <c r="J9" s="162">
        <f t="shared" si="8"/>
        <v>268</v>
      </c>
      <c r="K9" s="162">
        <f t="shared" si="9"/>
        <v>43</v>
      </c>
      <c r="L9" s="162">
        <f t="shared" si="10"/>
        <v>1152</v>
      </c>
      <c r="M9" s="162">
        <f t="shared" si="11"/>
        <v>209</v>
      </c>
      <c r="N9" s="162">
        <f t="shared" si="12"/>
        <v>1901</v>
      </c>
      <c r="O9" s="163">
        <f t="shared" si="13"/>
        <v>84.2567648605997</v>
      </c>
      <c r="P9" s="162">
        <f t="shared" si="14"/>
        <v>128</v>
      </c>
      <c r="Q9" s="162">
        <f t="shared" si="15"/>
        <v>1</v>
      </c>
      <c r="R9" s="164">
        <f t="shared" si="16"/>
        <v>129</v>
      </c>
      <c r="S9" s="164">
        <v>5</v>
      </c>
      <c r="T9" s="164">
        <v>1</v>
      </c>
      <c r="U9" s="165">
        <f t="shared" si="17"/>
        <v>16</v>
      </c>
      <c r="V9" s="162">
        <f t="shared" si="18"/>
        <v>16</v>
      </c>
      <c r="W9" s="162">
        <f t="shared" si="19"/>
        <v>0</v>
      </c>
      <c r="X9" s="166">
        <v>0.2</v>
      </c>
      <c r="Y9" s="162">
        <f t="shared" si="20"/>
        <v>0</v>
      </c>
      <c r="Z9" s="167">
        <f t="shared" si="21"/>
        <v>0.533</v>
      </c>
      <c r="AA9" s="168">
        <f t="shared" si="22"/>
        <v>16</v>
      </c>
      <c r="AB9" s="169">
        <f t="shared" si="23"/>
        <v>0.00841662283008943</v>
      </c>
      <c r="AC9" s="170"/>
      <c r="AD9" s="185">
        <v>3841.5</v>
      </c>
      <c r="AE9" s="171">
        <v>438.73</v>
      </c>
      <c r="AF9" s="172">
        <v>4280.23</v>
      </c>
      <c r="AG9" s="171">
        <v>35</v>
      </c>
      <c r="AH9" s="171">
        <v>35</v>
      </c>
      <c r="AI9" s="172">
        <v>68</v>
      </c>
      <c r="AJ9" s="171">
        <v>38</v>
      </c>
      <c r="AK9" s="171">
        <v>11</v>
      </c>
      <c r="AL9" s="171">
        <v>19</v>
      </c>
      <c r="AM9" s="171">
        <v>57</v>
      </c>
      <c r="AN9" s="171">
        <v>5</v>
      </c>
      <c r="AO9" s="171">
        <v>29</v>
      </c>
      <c r="AP9" s="173">
        <v>147.594137931034</v>
      </c>
      <c r="AQ9" s="171">
        <v>10</v>
      </c>
      <c r="AR9" s="171">
        <v>0</v>
      </c>
      <c r="AS9" s="171">
        <v>10</v>
      </c>
      <c r="AT9" s="171">
        <v>1</v>
      </c>
      <c r="AU9" s="171">
        <v>1</v>
      </c>
      <c r="AV9" s="171">
        <v>0</v>
      </c>
      <c r="AW9" s="189">
        <v>0</v>
      </c>
      <c r="AX9" s="171">
        <v>0</v>
      </c>
      <c r="AY9" s="174">
        <v>0</v>
      </c>
      <c r="AZ9" s="171">
        <v>1</v>
      </c>
      <c r="BA9" s="174">
        <v>0.0344827586206897</v>
      </c>
      <c r="BB9" s="171"/>
      <c r="BC9" s="185">
        <v>13841</v>
      </c>
      <c r="BD9" s="171">
        <v>11356</v>
      </c>
      <c r="BE9" s="172">
        <v>25197</v>
      </c>
      <c r="BF9" s="171">
        <v>57</v>
      </c>
      <c r="BG9" s="171">
        <v>83</v>
      </c>
      <c r="BH9" s="172">
        <v>369</v>
      </c>
      <c r="BI9" s="171">
        <v>227</v>
      </c>
      <c r="BJ9" s="171">
        <v>137</v>
      </c>
      <c r="BK9" s="171">
        <v>5</v>
      </c>
      <c r="BL9" s="171">
        <v>67</v>
      </c>
      <c r="BM9" s="171">
        <v>8</v>
      </c>
      <c r="BN9" s="171">
        <v>353</v>
      </c>
      <c r="BO9" s="173">
        <v>71.3796033994334</v>
      </c>
      <c r="BP9" s="171">
        <v>15</v>
      </c>
      <c r="BQ9" s="171">
        <v>1</v>
      </c>
      <c r="BR9" s="171">
        <v>16</v>
      </c>
      <c r="BS9" s="171">
        <v>0</v>
      </c>
      <c r="BT9" s="171">
        <v>0</v>
      </c>
      <c r="BU9" s="171">
        <v>0</v>
      </c>
      <c r="BV9" s="189">
        <v>0</v>
      </c>
      <c r="BW9" s="171">
        <v>0</v>
      </c>
      <c r="BX9" s="174">
        <v>0</v>
      </c>
      <c r="BY9" s="171">
        <v>0</v>
      </c>
      <c r="BZ9" s="174">
        <v>0</v>
      </c>
      <c r="CA9" s="171"/>
      <c r="CB9" s="185">
        <v>25871</v>
      </c>
      <c r="CC9" s="171">
        <v>3777</v>
      </c>
      <c r="CD9" s="172">
        <v>29648</v>
      </c>
      <c r="CE9" s="171">
        <v>99</v>
      </c>
      <c r="CF9" s="171">
        <v>66</v>
      </c>
      <c r="CG9" s="172">
        <v>345</v>
      </c>
      <c r="CH9" s="171">
        <v>314</v>
      </c>
      <c r="CI9" s="171">
        <v>19</v>
      </c>
      <c r="CJ9" s="171">
        <v>0</v>
      </c>
      <c r="CK9" s="171">
        <v>173</v>
      </c>
      <c r="CL9" s="171">
        <v>30</v>
      </c>
      <c r="CM9" s="171">
        <v>321</v>
      </c>
      <c r="CN9" s="173">
        <v>92.3613707165109</v>
      </c>
      <c r="CO9" s="171">
        <v>18</v>
      </c>
      <c r="CP9" s="171">
        <v>0</v>
      </c>
      <c r="CQ9" s="171">
        <v>18</v>
      </c>
      <c r="CR9" s="171">
        <v>2</v>
      </c>
      <c r="CS9" s="171">
        <v>2</v>
      </c>
      <c r="CT9" s="171">
        <v>0</v>
      </c>
      <c r="CU9" s="174">
        <v>0.03</v>
      </c>
      <c r="CV9" s="171">
        <v>0</v>
      </c>
      <c r="CW9" s="174">
        <v>0</v>
      </c>
      <c r="CX9" s="171">
        <v>2</v>
      </c>
      <c r="CY9" s="174">
        <v>0.00623052959501558</v>
      </c>
      <c r="CZ9" s="171"/>
      <c r="DA9" s="185">
        <v>29189.22</v>
      </c>
      <c r="DB9" s="171">
        <v>3152</v>
      </c>
      <c r="DC9" s="172">
        <v>32341.22</v>
      </c>
      <c r="DD9" s="171">
        <v>96</v>
      </c>
      <c r="DE9" s="171">
        <v>64</v>
      </c>
      <c r="DF9" s="172">
        <v>384</v>
      </c>
      <c r="DG9" s="171">
        <v>336</v>
      </c>
      <c r="DH9" s="171">
        <v>44</v>
      </c>
      <c r="DI9" s="171">
        <v>4</v>
      </c>
      <c r="DJ9" s="171">
        <v>179</v>
      </c>
      <c r="DK9" s="171">
        <v>13</v>
      </c>
      <c r="DL9" s="171">
        <v>364</v>
      </c>
      <c r="DM9" s="173">
        <v>88.8495054945055</v>
      </c>
      <c r="DN9" s="171">
        <v>25</v>
      </c>
      <c r="DO9" s="171">
        <v>0</v>
      </c>
      <c r="DP9" s="171">
        <v>25</v>
      </c>
      <c r="DQ9" s="171">
        <v>2</v>
      </c>
      <c r="DR9" s="171">
        <v>2</v>
      </c>
      <c r="DS9" s="171">
        <v>0</v>
      </c>
      <c r="DT9" s="174">
        <v>0.067</v>
      </c>
      <c r="DU9" s="171">
        <v>0</v>
      </c>
      <c r="DV9" s="174">
        <v>0.533</v>
      </c>
      <c r="DW9" s="171">
        <v>2</v>
      </c>
      <c r="DX9" s="174">
        <v>0.00549450549450549</v>
      </c>
      <c r="DY9" s="171"/>
      <c r="DZ9" s="185">
        <v>28448</v>
      </c>
      <c r="EA9" s="171">
        <v>1173</v>
      </c>
      <c r="EB9" s="172">
        <v>29621</v>
      </c>
      <c r="EC9" s="171">
        <v>96</v>
      </c>
      <c r="ED9" s="171">
        <v>60</v>
      </c>
      <c r="EE9" s="172">
        <v>408</v>
      </c>
      <c r="EF9" s="171">
        <v>387</v>
      </c>
      <c r="EG9" s="171">
        <v>21</v>
      </c>
      <c r="EH9" s="171">
        <v>0</v>
      </c>
      <c r="EI9" s="171">
        <v>276</v>
      </c>
      <c r="EJ9" s="171">
        <v>26</v>
      </c>
      <c r="EK9" s="171">
        <v>390</v>
      </c>
      <c r="EL9" s="173">
        <v>75.951282051282</v>
      </c>
      <c r="EM9" s="171">
        <v>33</v>
      </c>
      <c r="EN9" s="171">
        <v>0</v>
      </c>
      <c r="EO9" s="171">
        <v>33</v>
      </c>
      <c r="EP9" s="171">
        <v>6</v>
      </c>
      <c r="EQ9" s="171">
        <v>6</v>
      </c>
      <c r="ER9" s="171">
        <v>0</v>
      </c>
      <c r="ES9" s="174">
        <v>0.136</v>
      </c>
      <c r="ET9" s="171">
        <v>0</v>
      </c>
      <c r="EU9" s="174">
        <v>0</v>
      </c>
      <c r="EV9" s="171">
        <v>6</v>
      </c>
      <c r="EW9" s="174">
        <v>0.0153846153846154</v>
      </c>
      <c r="EX9" s="171"/>
      <c r="EY9" s="177">
        <v>25412.86</v>
      </c>
      <c r="EZ9" s="177">
        <v>2134.8</v>
      </c>
      <c r="FA9" s="177">
        <v>27547.66</v>
      </c>
      <c r="FB9" s="177">
        <v>96</v>
      </c>
      <c r="FC9" s="177">
        <v>60</v>
      </c>
      <c r="FD9" s="177">
        <v>418</v>
      </c>
      <c r="FE9" s="177">
        <v>375</v>
      </c>
      <c r="FF9" s="177">
        <v>28</v>
      </c>
      <c r="FG9" s="177">
        <v>15</v>
      </c>
      <c r="FH9" s="177">
        <v>300</v>
      </c>
      <c r="FI9" s="177">
        <v>77</v>
      </c>
      <c r="FJ9" s="177">
        <v>316</v>
      </c>
      <c r="FK9" s="176">
        <v>87.1761392405063</v>
      </c>
      <c r="FL9" s="177">
        <v>20</v>
      </c>
      <c r="FM9" s="177">
        <v>0</v>
      </c>
      <c r="FN9" s="177">
        <v>20</v>
      </c>
      <c r="FO9" s="177">
        <v>30</v>
      </c>
      <c r="FP9" s="177">
        <v>4</v>
      </c>
      <c r="FQ9" s="178">
        <v>4</v>
      </c>
      <c r="FR9" s="181">
        <v>4</v>
      </c>
      <c r="FS9" s="181">
        <v>0</v>
      </c>
      <c r="FT9" s="182">
        <v>0.115</v>
      </c>
      <c r="FU9" s="181">
        <v>0</v>
      </c>
      <c r="FV9" s="180">
        <v>0</v>
      </c>
      <c r="FW9" s="181">
        <v>4</v>
      </c>
      <c r="FX9" s="182">
        <v>0.0126582278481013</v>
      </c>
      <c r="FY9" s="183"/>
      <c r="FZ9" s="177">
        <v>10937</v>
      </c>
      <c r="GA9" s="177">
        <v>600</v>
      </c>
      <c r="GB9" s="177">
        <v>11537</v>
      </c>
      <c r="GC9" s="177">
        <v>41</v>
      </c>
      <c r="GD9" s="177">
        <v>21</v>
      </c>
      <c r="GE9" s="177">
        <v>176</v>
      </c>
      <c r="GF9" s="177">
        <v>168</v>
      </c>
      <c r="GG9" s="177">
        <v>8</v>
      </c>
      <c r="GH9" s="177">
        <v>0</v>
      </c>
      <c r="GI9" s="177">
        <v>100</v>
      </c>
      <c r="GJ9" s="177">
        <v>50</v>
      </c>
      <c r="GK9" s="177">
        <v>128</v>
      </c>
      <c r="GL9" s="176">
        <v>90.1328125</v>
      </c>
      <c r="GM9" s="177">
        <v>7</v>
      </c>
      <c r="GN9" s="177">
        <v>0</v>
      </c>
      <c r="GO9" s="177">
        <v>7</v>
      </c>
      <c r="GP9" s="177">
        <v>5</v>
      </c>
      <c r="GQ9" s="177">
        <v>1</v>
      </c>
      <c r="GR9" s="178">
        <v>1</v>
      </c>
      <c r="GS9" s="181">
        <v>1</v>
      </c>
      <c r="GT9" s="181">
        <v>0</v>
      </c>
      <c r="GU9" s="182">
        <v>0.2</v>
      </c>
      <c r="GV9" s="181">
        <v>0</v>
      </c>
      <c r="GW9" s="180">
        <v>0</v>
      </c>
      <c r="GX9" s="181">
        <v>1</v>
      </c>
      <c r="GY9" s="182">
        <v>0.0078125</v>
      </c>
      <c r="GZ9" s="183"/>
    </row>
    <row r="10" s="101" customFormat="1" ht="39" customHeight="1" spans="1:208">
      <c r="A10" s="190">
        <v>6</v>
      </c>
      <c r="B10" s="50" t="s">
        <v>25</v>
      </c>
      <c r="C10" s="191">
        <f t="shared" si="1"/>
        <v>52194.65</v>
      </c>
      <c r="D10" s="191">
        <f t="shared" si="2"/>
        <v>0</v>
      </c>
      <c r="E10" s="191">
        <f t="shared" si="3"/>
        <v>52194.65</v>
      </c>
      <c r="F10" s="191">
        <f t="shared" si="4"/>
        <v>448</v>
      </c>
      <c r="G10" s="191">
        <f t="shared" si="5"/>
        <v>452</v>
      </c>
      <c r="H10" s="191">
        <f t="shared" si="6"/>
        <v>4068</v>
      </c>
      <c r="I10" s="191">
        <f t="shared" si="7"/>
        <v>1883</v>
      </c>
      <c r="J10" s="191">
        <f t="shared" si="8"/>
        <v>529</v>
      </c>
      <c r="K10" s="191">
        <f t="shared" si="9"/>
        <v>1659</v>
      </c>
      <c r="L10" s="191">
        <f t="shared" si="10"/>
        <v>868</v>
      </c>
      <c r="M10" s="191">
        <f t="shared" si="11"/>
        <v>968</v>
      </c>
      <c r="N10" s="191">
        <f t="shared" si="12"/>
        <v>1014</v>
      </c>
      <c r="O10" s="192">
        <f t="shared" si="13"/>
        <v>51.4740138067061</v>
      </c>
      <c r="P10" s="191">
        <f t="shared" si="14"/>
        <v>218</v>
      </c>
      <c r="Q10" s="191">
        <f t="shared" si="15"/>
        <v>31</v>
      </c>
      <c r="R10" s="193">
        <f t="shared" si="16"/>
        <v>249</v>
      </c>
      <c r="S10" s="193">
        <v>12</v>
      </c>
      <c r="T10" s="193">
        <v>0</v>
      </c>
      <c r="U10" s="194">
        <f t="shared" si="17"/>
        <v>59</v>
      </c>
      <c r="V10" s="191">
        <f t="shared" si="18"/>
        <v>52</v>
      </c>
      <c r="W10" s="191">
        <f t="shared" si="19"/>
        <v>7</v>
      </c>
      <c r="X10" s="195">
        <v>0</v>
      </c>
      <c r="Y10" s="191">
        <f t="shared" si="20"/>
        <v>18</v>
      </c>
      <c r="Z10" s="196">
        <f t="shared" si="21"/>
        <v>0.922094655187876</v>
      </c>
      <c r="AA10" s="197">
        <f t="shared" si="22"/>
        <v>41</v>
      </c>
      <c r="AB10" s="198">
        <f t="shared" si="23"/>
        <v>0.0404339250493097</v>
      </c>
      <c r="AC10" s="199">
        <v>99</v>
      </c>
      <c r="AD10" s="185">
        <v>0</v>
      </c>
      <c r="AE10" s="171">
        <v>0</v>
      </c>
      <c r="AF10" s="172">
        <v>0</v>
      </c>
      <c r="AG10" s="171">
        <v>65</v>
      </c>
      <c r="AH10" s="171">
        <v>58</v>
      </c>
      <c r="AI10" s="172">
        <v>683</v>
      </c>
      <c r="AJ10" s="171">
        <v>170</v>
      </c>
      <c r="AK10" s="171">
        <v>111</v>
      </c>
      <c r="AL10" s="171">
        <v>402</v>
      </c>
      <c r="AM10" s="171">
        <v>66</v>
      </c>
      <c r="AN10" s="171">
        <v>198</v>
      </c>
      <c r="AO10" s="171">
        <v>0</v>
      </c>
      <c r="AP10" s="173">
        <v>0</v>
      </c>
      <c r="AQ10" s="171">
        <v>36</v>
      </c>
      <c r="AR10" s="171">
        <v>5</v>
      </c>
      <c r="AS10" s="171">
        <v>41</v>
      </c>
      <c r="AT10" s="171">
        <v>11</v>
      </c>
      <c r="AU10" s="171">
        <v>9</v>
      </c>
      <c r="AV10" s="171">
        <v>2</v>
      </c>
      <c r="AW10" s="174">
        <v>0.21</v>
      </c>
      <c r="AX10" s="171">
        <v>1</v>
      </c>
      <c r="AY10" s="174">
        <v>0.102645502645503</v>
      </c>
      <c r="AZ10" s="171">
        <v>10</v>
      </c>
      <c r="BA10" s="174">
        <v>0</v>
      </c>
      <c r="BB10" s="171">
        <v>141</v>
      </c>
      <c r="BC10" s="185">
        <v>0</v>
      </c>
      <c r="BD10" s="171">
        <v>0</v>
      </c>
      <c r="BE10" s="172">
        <v>0</v>
      </c>
      <c r="BF10" s="171">
        <v>45</v>
      </c>
      <c r="BG10" s="171">
        <v>58</v>
      </c>
      <c r="BH10" s="172">
        <v>765</v>
      </c>
      <c r="BI10" s="171">
        <v>229</v>
      </c>
      <c r="BJ10" s="171">
        <v>75</v>
      </c>
      <c r="BK10" s="171">
        <v>461</v>
      </c>
      <c r="BL10" s="171">
        <v>86</v>
      </c>
      <c r="BM10" s="171">
        <v>252</v>
      </c>
      <c r="BN10" s="171">
        <v>0</v>
      </c>
      <c r="BO10" s="173">
        <v>0</v>
      </c>
      <c r="BP10" s="171">
        <v>22</v>
      </c>
      <c r="BQ10" s="171">
        <v>7</v>
      </c>
      <c r="BR10" s="171">
        <v>29</v>
      </c>
      <c r="BS10" s="171">
        <v>5</v>
      </c>
      <c r="BT10" s="171">
        <v>4</v>
      </c>
      <c r="BU10" s="171">
        <v>1</v>
      </c>
      <c r="BV10" s="174">
        <v>0.11</v>
      </c>
      <c r="BW10" s="171">
        <v>5</v>
      </c>
      <c r="BX10" s="174">
        <v>0.0794491525423729</v>
      </c>
      <c r="BY10" s="171">
        <v>0</v>
      </c>
      <c r="BZ10" s="174">
        <v>0</v>
      </c>
      <c r="CA10" s="171">
        <v>88</v>
      </c>
      <c r="CB10" s="185">
        <v>15070.65</v>
      </c>
      <c r="CC10" s="171">
        <v>0</v>
      </c>
      <c r="CD10" s="172">
        <v>15070.65</v>
      </c>
      <c r="CE10" s="171">
        <v>96</v>
      </c>
      <c r="CF10" s="171">
        <v>93</v>
      </c>
      <c r="CG10" s="172">
        <v>867</v>
      </c>
      <c r="CH10" s="171">
        <v>348</v>
      </c>
      <c r="CI10" s="171">
        <v>136</v>
      </c>
      <c r="CJ10" s="171">
        <v>383</v>
      </c>
      <c r="CK10" s="171">
        <v>203</v>
      </c>
      <c r="CL10" s="171">
        <v>122</v>
      </c>
      <c r="CM10" s="171">
        <v>270</v>
      </c>
      <c r="CN10" s="173">
        <v>55.8172222222222</v>
      </c>
      <c r="CO10" s="171">
        <v>44</v>
      </c>
      <c r="CP10" s="171">
        <v>6</v>
      </c>
      <c r="CQ10" s="171">
        <v>50</v>
      </c>
      <c r="CR10" s="171">
        <v>9</v>
      </c>
      <c r="CS10" s="171">
        <v>8</v>
      </c>
      <c r="CT10" s="171">
        <v>1</v>
      </c>
      <c r="CU10" s="174">
        <v>0.2</v>
      </c>
      <c r="CV10" s="171">
        <v>1</v>
      </c>
      <c r="CW10" s="174">
        <v>0.024</v>
      </c>
      <c r="CX10" s="171">
        <v>8</v>
      </c>
      <c r="CY10" s="174">
        <v>0.0296296296296296</v>
      </c>
      <c r="CZ10" s="171">
        <v>161</v>
      </c>
      <c r="DA10" s="185">
        <v>4592</v>
      </c>
      <c r="DB10" s="171">
        <v>0</v>
      </c>
      <c r="DC10" s="172">
        <v>4592</v>
      </c>
      <c r="DD10" s="171">
        <v>74</v>
      </c>
      <c r="DE10" s="171">
        <v>80</v>
      </c>
      <c r="DF10" s="172">
        <v>593</v>
      </c>
      <c r="DG10" s="171">
        <v>307</v>
      </c>
      <c r="DH10" s="171">
        <v>93</v>
      </c>
      <c r="DI10" s="171">
        <v>193</v>
      </c>
      <c r="DJ10" s="171">
        <v>72</v>
      </c>
      <c r="DK10" s="171">
        <v>150</v>
      </c>
      <c r="DL10" s="171">
        <v>45</v>
      </c>
      <c r="DM10" s="173">
        <v>102.044444444444</v>
      </c>
      <c r="DN10" s="171">
        <v>28</v>
      </c>
      <c r="DO10" s="171">
        <v>5</v>
      </c>
      <c r="DP10" s="171">
        <v>33</v>
      </c>
      <c r="DQ10" s="171">
        <v>7</v>
      </c>
      <c r="DR10" s="171">
        <v>7</v>
      </c>
      <c r="DS10" s="171">
        <v>0</v>
      </c>
      <c r="DT10" s="174">
        <v>0.17</v>
      </c>
      <c r="DU10" s="171">
        <v>3</v>
      </c>
      <c r="DV10" s="174">
        <v>0.236</v>
      </c>
      <c r="DW10" s="171">
        <v>4</v>
      </c>
      <c r="DX10" s="174">
        <v>0.0888888888888889</v>
      </c>
      <c r="DY10" s="171">
        <v>252</v>
      </c>
      <c r="DZ10" s="185">
        <v>15729</v>
      </c>
      <c r="EA10" s="171">
        <v>0</v>
      </c>
      <c r="EB10" s="185">
        <v>15729</v>
      </c>
      <c r="EC10" s="171">
        <v>82</v>
      </c>
      <c r="ED10" s="171">
        <v>83</v>
      </c>
      <c r="EE10" s="172">
        <v>525</v>
      </c>
      <c r="EF10" s="171">
        <v>363</v>
      </c>
      <c r="EG10" s="171">
        <v>55</v>
      </c>
      <c r="EH10" s="171">
        <v>110</v>
      </c>
      <c r="EI10" s="171">
        <v>215</v>
      </c>
      <c r="EJ10" s="171">
        <v>97</v>
      </c>
      <c r="EK10" s="171">
        <v>324</v>
      </c>
      <c r="EL10" s="173">
        <v>32.9310344827586</v>
      </c>
      <c r="EM10" s="171">
        <v>38</v>
      </c>
      <c r="EN10" s="171">
        <v>4</v>
      </c>
      <c r="EO10" s="171">
        <v>42</v>
      </c>
      <c r="EP10" s="171">
        <v>10</v>
      </c>
      <c r="EQ10" s="171">
        <v>8</v>
      </c>
      <c r="ER10" s="171">
        <v>2</v>
      </c>
      <c r="ES10" s="174">
        <v>0.227</v>
      </c>
      <c r="ET10" s="171">
        <v>4</v>
      </c>
      <c r="EU10" s="174">
        <v>0.263</v>
      </c>
      <c r="EV10" s="171">
        <v>6</v>
      </c>
      <c r="EW10" s="174">
        <v>0.0106100795755968</v>
      </c>
      <c r="EX10" s="171">
        <v>149</v>
      </c>
      <c r="EY10" s="177">
        <v>11857</v>
      </c>
      <c r="EZ10" s="177">
        <v>0</v>
      </c>
      <c r="FA10" s="177">
        <v>11857</v>
      </c>
      <c r="FB10" s="177">
        <v>68</v>
      </c>
      <c r="FC10" s="177">
        <v>72</v>
      </c>
      <c r="FD10" s="177">
        <v>480</v>
      </c>
      <c r="FE10" s="177">
        <v>343</v>
      </c>
      <c r="FF10" s="177">
        <v>47</v>
      </c>
      <c r="FG10" s="177">
        <v>90</v>
      </c>
      <c r="FH10" s="177">
        <v>143</v>
      </c>
      <c r="FI10" s="177">
        <v>103</v>
      </c>
      <c r="FJ10" s="177">
        <v>276</v>
      </c>
      <c r="FK10" s="176">
        <v>42.9601449275362</v>
      </c>
      <c r="FL10" s="177">
        <v>41</v>
      </c>
      <c r="FM10" s="177">
        <v>4</v>
      </c>
      <c r="FN10" s="177">
        <v>45</v>
      </c>
      <c r="FO10" s="177">
        <v>61</v>
      </c>
      <c r="FP10" s="177">
        <v>17</v>
      </c>
      <c r="FQ10" s="178">
        <v>17</v>
      </c>
      <c r="FR10" s="177">
        <v>16</v>
      </c>
      <c r="FS10" s="177">
        <v>1</v>
      </c>
      <c r="FT10" s="182">
        <v>0.278</v>
      </c>
      <c r="FU10" s="177">
        <v>4</v>
      </c>
      <c r="FV10" s="182">
        <v>0.217</v>
      </c>
      <c r="FW10" s="177">
        <v>13</v>
      </c>
      <c r="FX10" s="182">
        <v>0.0471014492753623</v>
      </c>
      <c r="FY10" s="200">
        <v>134</v>
      </c>
      <c r="FZ10" s="177">
        <v>4946</v>
      </c>
      <c r="GA10" s="177">
        <v>0</v>
      </c>
      <c r="GB10" s="177">
        <v>4946</v>
      </c>
      <c r="GC10" s="177">
        <v>18</v>
      </c>
      <c r="GD10" s="177">
        <v>8</v>
      </c>
      <c r="GE10" s="177">
        <v>155</v>
      </c>
      <c r="GF10" s="177">
        <v>123</v>
      </c>
      <c r="GG10" s="177">
        <v>12</v>
      </c>
      <c r="GH10" s="177">
        <v>20</v>
      </c>
      <c r="GI10" s="177">
        <v>83</v>
      </c>
      <c r="GJ10" s="177">
        <v>46</v>
      </c>
      <c r="GK10" s="177">
        <v>99</v>
      </c>
      <c r="GL10" s="176">
        <v>49.959595959596</v>
      </c>
      <c r="GM10" s="177">
        <v>9</v>
      </c>
      <c r="GN10" s="177">
        <v>0</v>
      </c>
      <c r="GO10" s="177">
        <v>9</v>
      </c>
      <c r="GP10" s="177">
        <v>12</v>
      </c>
      <c r="GQ10" s="177">
        <v>0</v>
      </c>
      <c r="GR10" s="178">
        <v>0</v>
      </c>
      <c r="GS10" s="177">
        <v>0</v>
      </c>
      <c r="GT10" s="177">
        <v>0</v>
      </c>
      <c r="GU10" s="182">
        <v>0</v>
      </c>
      <c r="GV10" s="177">
        <v>0</v>
      </c>
      <c r="GW10" s="182">
        <v>0</v>
      </c>
      <c r="GX10" s="177">
        <v>0</v>
      </c>
      <c r="GY10" s="182">
        <v>0</v>
      </c>
      <c r="GZ10" s="200">
        <v>99</v>
      </c>
    </row>
    <row r="11" s="102" customFormat="1" ht="39" customHeight="1" spans="1:208">
      <c r="A11" s="201">
        <v>7</v>
      </c>
      <c r="B11" s="202" t="s">
        <v>26</v>
      </c>
      <c r="C11" s="203">
        <f t="shared" si="1"/>
        <v>71200</v>
      </c>
      <c r="D11" s="203">
        <f t="shared" si="2"/>
        <v>0</v>
      </c>
      <c r="E11" s="203">
        <f t="shared" si="3"/>
        <v>71200</v>
      </c>
      <c r="F11" s="203">
        <f t="shared" si="4"/>
        <v>400</v>
      </c>
      <c r="G11" s="203">
        <f t="shared" si="5"/>
        <v>306</v>
      </c>
      <c r="H11" s="203">
        <f t="shared" si="6"/>
        <v>2170</v>
      </c>
      <c r="I11" s="203">
        <f t="shared" si="7"/>
        <v>1528</v>
      </c>
      <c r="J11" s="203">
        <f t="shared" si="8"/>
        <v>192</v>
      </c>
      <c r="K11" s="203">
        <f t="shared" si="9"/>
        <v>450</v>
      </c>
      <c r="L11" s="203">
        <f t="shared" si="10"/>
        <v>1184</v>
      </c>
      <c r="M11" s="203">
        <f t="shared" si="11"/>
        <v>449</v>
      </c>
      <c r="N11" s="203">
        <f t="shared" si="12"/>
        <v>1682</v>
      </c>
      <c r="O11" s="204">
        <f t="shared" si="13"/>
        <v>42.3305588585018</v>
      </c>
      <c r="P11" s="203">
        <f t="shared" si="14"/>
        <v>251</v>
      </c>
      <c r="Q11" s="203">
        <f t="shared" si="15"/>
        <v>30</v>
      </c>
      <c r="R11" s="205">
        <f t="shared" si="16"/>
        <v>281</v>
      </c>
      <c r="S11" s="205">
        <v>5</v>
      </c>
      <c r="T11" s="205">
        <v>1</v>
      </c>
      <c r="U11" s="206">
        <f t="shared" si="17"/>
        <v>54</v>
      </c>
      <c r="V11" s="203">
        <f t="shared" si="18"/>
        <v>54</v>
      </c>
      <c r="W11" s="203">
        <f t="shared" si="19"/>
        <v>1</v>
      </c>
      <c r="X11" s="207">
        <v>0.2</v>
      </c>
      <c r="Y11" s="203">
        <f t="shared" si="20"/>
        <v>1</v>
      </c>
      <c r="Z11" s="208">
        <f t="shared" si="21"/>
        <v>0.045</v>
      </c>
      <c r="AA11" s="209">
        <f t="shared" si="22"/>
        <v>53</v>
      </c>
      <c r="AB11" s="210">
        <f t="shared" si="23"/>
        <v>0.0315101070154578</v>
      </c>
      <c r="AC11" s="170">
        <v>200</v>
      </c>
      <c r="AD11" s="185">
        <v>15000</v>
      </c>
      <c r="AE11" s="171">
        <v>0</v>
      </c>
      <c r="AF11" s="172">
        <v>15000</v>
      </c>
      <c r="AG11" s="171">
        <v>76</v>
      </c>
      <c r="AH11" s="171">
        <v>55</v>
      </c>
      <c r="AI11" s="172">
        <v>502</v>
      </c>
      <c r="AJ11" s="171">
        <v>372</v>
      </c>
      <c r="AK11" s="171">
        <v>54</v>
      </c>
      <c r="AL11" s="171">
        <v>76</v>
      </c>
      <c r="AM11" s="171">
        <v>275</v>
      </c>
      <c r="AN11" s="171">
        <v>86</v>
      </c>
      <c r="AO11" s="171">
        <v>416</v>
      </c>
      <c r="AP11" s="173">
        <v>36.0576923076923</v>
      </c>
      <c r="AQ11" s="171">
        <v>65</v>
      </c>
      <c r="AR11" s="171">
        <v>11</v>
      </c>
      <c r="AS11" s="171">
        <v>76</v>
      </c>
      <c r="AT11" s="171">
        <v>15</v>
      </c>
      <c r="AU11" s="171">
        <v>15</v>
      </c>
      <c r="AV11" s="171">
        <v>0</v>
      </c>
      <c r="AW11" s="174">
        <v>0.15</v>
      </c>
      <c r="AX11" s="171">
        <v>0</v>
      </c>
      <c r="AY11" s="174">
        <v>0</v>
      </c>
      <c r="AZ11" s="171">
        <v>15</v>
      </c>
      <c r="BA11" s="174">
        <v>0.0360576923076923</v>
      </c>
      <c r="BB11" s="171">
        <v>200</v>
      </c>
      <c r="BC11" s="185">
        <v>7000</v>
      </c>
      <c r="BD11" s="171">
        <v>0</v>
      </c>
      <c r="BE11" s="172">
        <v>7000</v>
      </c>
      <c r="BF11" s="171">
        <v>50</v>
      </c>
      <c r="BG11" s="171">
        <v>30</v>
      </c>
      <c r="BH11" s="172">
        <v>181</v>
      </c>
      <c r="BI11" s="171">
        <v>110</v>
      </c>
      <c r="BJ11" s="171">
        <v>28</v>
      </c>
      <c r="BK11" s="171">
        <v>43</v>
      </c>
      <c r="BL11" s="171">
        <v>102</v>
      </c>
      <c r="BM11" s="171">
        <v>45</v>
      </c>
      <c r="BN11" s="171">
        <v>136</v>
      </c>
      <c r="BO11" s="173">
        <v>51.4705882352941</v>
      </c>
      <c r="BP11" s="171">
        <v>24</v>
      </c>
      <c r="BQ11" s="171">
        <v>3</v>
      </c>
      <c r="BR11" s="171">
        <v>27</v>
      </c>
      <c r="BS11" s="171">
        <v>7</v>
      </c>
      <c r="BT11" s="171">
        <v>7</v>
      </c>
      <c r="BU11" s="171">
        <v>1</v>
      </c>
      <c r="BV11" s="174">
        <v>0.15</v>
      </c>
      <c r="BW11" s="171">
        <v>0</v>
      </c>
      <c r="BX11" s="174">
        <v>0</v>
      </c>
      <c r="BY11" s="171">
        <v>7</v>
      </c>
      <c r="BZ11" s="174">
        <v>0.0588235294117647</v>
      </c>
      <c r="CA11" s="171">
        <v>230</v>
      </c>
      <c r="CB11" s="185">
        <v>11500</v>
      </c>
      <c r="CC11" s="171">
        <v>0</v>
      </c>
      <c r="CD11" s="172">
        <v>11500</v>
      </c>
      <c r="CE11" s="171">
        <v>70</v>
      </c>
      <c r="CF11" s="171">
        <v>60</v>
      </c>
      <c r="CG11" s="172">
        <v>394</v>
      </c>
      <c r="CH11" s="171">
        <v>274</v>
      </c>
      <c r="CI11" s="171">
        <v>35</v>
      </c>
      <c r="CJ11" s="171">
        <v>85</v>
      </c>
      <c r="CK11" s="171">
        <v>206</v>
      </c>
      <c r="CL11" s="171">
        <v>71</v>
      </c>
      <c r="CM11" s="171">
        <v>313</v>
      </c>
      <c r="CN11" s="173">
        <v>36.741214057508</v>
      </c>
      <c r="CO11" s="171">
        <v>49</v>
      </c>
      <c r="CP11" s="171">
        <v>3</v>
      </c>
      <c r="CQ11" s="171">
        <v>52</v>
      </c>
      <c r="CR11" s="171">
        <v>10</v>
      </c>
      <c r="CS11" s="171">
        <v>10</v>
      </c>
      <c r="CT11" s="171">
        <v>0</v>
      </c>
      <c r="CU11" s="174">
        <v>0.15</v>
      </c>
      <c r="CV11" s="171">
        <v>0</v>
      </c>
      <c r="CW11" s="174">
        <v>0</v>
      </c>
      <c r="CX11" s="171">
        <v>10</v>
      </c>
      <c r="CY11" s="174">
        <v>0.0319488817891374</v>
      </c>
      <c r="CZ11" s="171">
        <v>220</v>
      </c>
      <c r="DA11" s="185">
        <v>9600</v>
      </c>
      <c r="DB11" s="171">
        <v>0</v>
      </c>
      <c r="DC11" s="172">
        <v>9600</v>
      </c>
      <c r="DD11" s="171">
        <v>62</v>
      </c>
      <c r="DE11" s="171">
        <v>60</v>
      </c>
      <c r="DF11" s="172">
        <v>316</v>
      </c>
      <c r="DG11" s="171">
        <v>219</v>
      </c>
      <c r="DH11" s="171">
        <v>19</v>
      </c>
      <c r="DI11" s="171">
        <v>78</v>
      </c>
      <c r="DJ11" s="171">
        <v>170</v>
      </c>
      <c r="DK11" s="171">
        <v>58</v>
      </c>
      <c r="DL11" s="171">
        <v>258</v>
      </c>
      <c r="DM11" s="173">
        <v>37.2093023255814</v>
      </c>
      <c r="DN11" s="171">
        <v>35</v>
      </c>
      <c r="DO11" s="171">
        <v>2</v>
      </c>
      <c r="DP11" s="171">
        <v>37</v>
      </c>
      <c r="DQ11" s="171">
        <v>5</v>
      </c>
      <c r="DR11" s="171">
        <v>5</v>
      </c>
      <c r="DS11" s="171">
        <v>0</v>
      </c>
      <c r="DT11" s="174">
        <v>0.15</v>
      </c>
      <c r="DU11" s="171">
        <v>0</v>
      </c>
      <c r="DV11" s="174">
        <v>0</v>
      </c>
      <c r="DW11" s="171">
        <v>5</v>
      </c>
      <c r="DX11" s="174">
        <v>0.0193798449612403</v>
      </c>
      <c r="DY11" s="171">
        <v>198</v>
      </c>
      <c r="DZ11" s="185">
        <v>14100</v>
      </c>
      <c r="EA11" s="171">
        <v>0</v>
      </c>
      <c r="EB11" s="172">
        <v>14100</v>
      </c>
      <c r="EC11" s="171">
        <v>68</v>
      </c>
      <c r="ED11" s="171">
        <v>46</v>
      </c>
      <c r="EE11" s="172">
        <v>375</v>
      </c>
      <c r="EF11" s="171">
        <v>257</v>
      </c>
      <c r="EG11" s="171">
        <v>36</v>
      </c>
      <c r="EH11" s="171">
        <v>82</v>
      </c>
      <c r="EI11" s="171">
        <v>207</v>
      </c>
      <c r="EJ11" s="171">
        <v>97</v>
      </c>
      <c r="EK11" s="171">
        <v>261</v>
      </c>
      <c r="EL11" s="173">
        <v>54.0229885057471</v>
      </c>
      <c r="EM11" s="171">
        <v>41</v>
      </c>
      <c r="EN11" s="171">
        <v>9</v>
      </c>
      <c r="EO11" s="171">
        <v>50</v>
      </c>
      <c r="EP11" s="171">
        <v>10</v>
      </c>
      <c r="EQ11" s="171">
        <v>10</v>
      </c>
      <c r="ER11" s="171">
        <v>0</v>
      </c>
      <c r="ES11" s="174">
        <v>0.15</v>
      </c>
      <c r="ET11" s="171">
        <v>1</v>
      </c>
      <c r="EU11" s="174">
        <v>0.045</v>
      </c>
      <c r="EV11" s="171">
        <v>9</v>
      </c>
      <c r="EW11" s="174">
        <v>0.0344827586206897</v>
      </c>
      <c r="EX11" s="171">
        <v>208</v>
      </c>
      <c r="EY11" s="177">
        <v>11000</v>
      </c>
      <c r="EZ11" s="177">
        <v>0</v>
      </c>
      <c r="FA11" s="177">
        <v>11000</v>
      </c>
      <c r="FB11" s="177">
        <v>61</v>
      </c>
      <c r="FC11" s="177">
        <v>48</v>
      </c>
      <c r="FD11" s="177">
        <v>336</v>
      </c>
      <c r="FE11" s="177">
        <v>247</v>
      </c>
      <c r="FF11" s="177">
        <v>18</v>
      </c>
      <c r="FG11" s="177">
        <v>71</v>
      </c>
      <c r="FH11" s="177">
        <v>186</v>
      </c>
      <c r="FI11" s="177">
        <v>78</v>
      </c>
      <c r="FJ11" s="177">
        <v>246</v>
      </c>
      <c r="FK11" s="211">
        <v>44.7154471544715</v>
      </c>
      <c r="FL11" s="177">
        <v>33</v>
      </c>
      <c r="FM11" s="177">
        <v>2</v>
      </c>
      <c r="FN11" s="177">
        <v>35</v>
      </c>
      <c r="FO11" s="177">
        <v>15</v>
      </c>
      <c r="FP11" s="177">
        <v>4</v>
      </c>
      <c r="FQ11" s="178">
        <v>6</v>
      </c>
      <c r="FR11" s="181">
        <v>6</v>
      </c>
      <c r="FS11" s="181">
        <v>0</v>
      </c>
      <c r="FT11" s="182">
        <v>0.26</v>
      </c>
      <c r="FU11" s="181">
        <v>0</v>
      </c>
      <c r="FV11" s="180">
        <v>0</v>
      </c>
      <c r="FW11" s="181">
        <v>6</v>
      </c>
      <c r="FX11" s="182">
        <v>0.024390243902439</v>
      </c>
      <c r="FY11" s="183">
        <v>200</v>
      </c>
      <c r="FZ11" s="177">
        <v>3000</v>
      </c>
      <c r="GA11" s="177">
        <v>0</v>
      </c>
      <c r="GB11" s="177">
        <v>3000</v>
      </c>
      <c r="GC11" s="177">
        <v>13</v>
      </c>
      <c r="GD11" s="177">
        <v>7</v>
      </c>
      <c r="GE11" s="177">
        <v>66</v>
      </c>
      <c r="GF11" s="177">
        <v>49</v>
      </c>
      <c r="GG11" s="177">
        <v>2</v>
      </c>
      <c r="GH11" s="177">
        <v>15</v>
      </c>
      <c r="GI11" s="177">
        <v>38</v>
      </c>
      <c r="GJ11" s="177">
        <v>14</v>
      </c>
      <c r="GK11" s="177">
        <v>52</v>
      </c>
      <c r="GL11" s="211">
        <v>57.6923076923077</v>
      </c>
      <c r="GM11" s="177">
        <v>4</v>
      </c>
      <c r="GN11" s="177">
        <v>0</v>
      </c>
      <c r="GO11" s="177">
        <v>4</v>
      </c>
      <c r="GP11" s="177">
        <v>5</v>
      </c>
      <c r="GQ11" s="177">
        <v>1</v>
      </c>
      <c r="GR11" s="178">
        <v>1</v>
      </c>
      <c r="GS11" s="181">
        <v>1</v>
      </c>
      <c r="GT11" s="181">
        <v>0</v>
      </c>
      <c r="GU11" s="182">
        <v>0.2</v>
      </c>
      <c r="GV11" s="181">
        <v>0</v>
      </c>
      <c r="GW11" s="180">
        <v>0</v>
      </c>
      <c r="GX11" s="181">
        <v>1</v>
      </c>
      <c r="GY11" s="182">
        <v>0.0192307692307692</v>
      </c>
      <c r="GZ11" s="183">
        <v>200</v>
      </c>
    </row>
    <row r="12" s="101" customFormat="1" ht="39" customHeight="1" spans="1:208">
      <c r="A12" s="190">
        <v>8</v>
      </c>
      <c r="B12" s="50" t="s">
        <v>27</v>
      </c>
      <c r="C12" s="191">
        <f t="shared" si="1"/>
        <v>32703.45</v>
      </c>
      <c r="D12" s="191">
        <f t="shared" si="2"/>
        <v>31043.26</v>
      </c>
      <c r="E12" s="191">
        <f t="shared" si="3"/>
        <v>63746.71</v>
      </c>
      <c r="F12" s="191">
        <f t="shared" si="4"/>
        <v>239</v>
      </c>
      <c r="G12" s="191">
        <f t="shared" si="5"/>
        <v>302</v>
      </c>
      <c r="H12" s="191">
        <f t="shared" si="6"/>
        <v>2377</v>
      </c>
      <c r="I12" s="191">
        <f t="shared" si="7"/>
        <v>740</v>
      </c>
      <c r="J12" s="191">
        <f t="shared" si="8"/>
        <v>1566</v>
      </c>
      <c r="K12" s="191">
        <f t="shared" si="9"/>
        <v>72</v>
      </c>
      <c r="L12" s="191">
        <f t="shared" si="10"/>
        <v>2508</v>
      </c>
      <c r="M12" s="191">
        <f t="shared" si="11"/>
        <v>542</v>
      </c>
      <c r="N12" s="191">
        <f t="shared" si="12"/>
        <v>1648</v>
      </c>
      <c r="O12" s="192">
        <f t="shared" si="13"/>
        <v>38.6812560679612</v>
      </c>
      <c r="P12" s="191">
        <f t="shared" si="14"/>
        <v>39</v>
      </c>
      <c r="Q12" s="191">
        <f t="shared" si="15"/>
        <v>101</v>
      </c>
      <c r="R12" s="193">
        <f t="shared" si="16"/>
        <v>140</v>
      </c>
      <c r="S12" s="193">
        <v>3</v>
      </c>
      <c r="T12" s="193">
        <v>0</v>
      </c>
      <c r="U12" s="194">
        <f t="shared" si="17"/>
        <v>47</v>
      </c>
      <c r="V12" s="191">
        <f t="shared" si="18"/>
        <v>12</v>
      </c>
      <c r="W12" s="191">
        <f t="shared" si="19"/>
        <v>34</v>
      </c>
      <c r="X12" s="212">
        <v>0.33</v>
      </c>
      <c r="Y12" s="191">
        <f t="shared" si="20"/>
        <v>3</v>
      </c>
      <c r="Z12" s="196">
        <f t="shared" si="21"/>
        <v>0.076</v>
      </c>
      <c r="AA12" s="197">
        <f t="shared" si="22"/>
        <v>44</v>
      </c>
      <c r="AB12" s="198">
        <f t="shared" si="23"/>
        <v>0.0266990291262136</v>
      </c>
      <c r="AC12" s="199"/>
      <c r="AD12" s="185"/>
      <c r="AE12" s="171"/>
      <c r="AF12" s="172"/>
      <c r="AG12" s="171"/>
      <c r="AH12" s="171"/>
      <c r="AI12" s="172"/>
      <c r="AJ12" s="171"/>
      <c r="AK12" s="171"/>
      <c r="AL12" s="171"/>
      <c r="AM12" s="171"/>
      <c r="AN12" s="171"/>
      <c r="AO12" s="171"/>
      <c r="AP12" s="173"/>
      <c r="AQ12" s="171"/>
      <c r="AR12" s="171"/>
      <c r="AS12" s="171"/>
      <c r="AT12" s="171"/>
      <c r="AU12" s="171"/>
      <c r="AV12" s="171"/>
      <c r="AW12" s="174"/>
      <c r="AX12" s="171"/>
      <c r="AY12" s="174"/>
      <c r="AZ12" s="171"/>
      <c r="BA12" s="174"/>
      <c r="BB12" s="171"/>
      <c r="BC12" s="185"/>
      <c r="BD12" s="171"/>
      <c r="BE12" s="172"/>
      <c r="BF12" s="171"/>
      <c r="BG12" s="171"/>
      <c r="BH12" s="172"/>
      <c r="BI12" s="171"/>
      <c r="BJ12" s="171"/>
      <c r="BK12" s="171"/>
      <c r="BL12" s="171"/>
      <c r="BM12" s="171"/>
      <c r="BN12" s="171"/>
      <c r="BO12" s="173"/>
      <c r="BP12" s="171"/>
      <c r="BQ12" s="171"/>
      <c r="BR12" s="171"/>
      <c r="BS12" s="171"/>
      <c r="BT12" s="171"/>
      <c r="BU12" s="171"/>
      <c r="BV12" s="174"/>
      <c r="BW12" s="171"/>
      <c r="BX12" s="174"/>
      <c r="BY12" s="171"/>
      <c r="BZ12" s="174"/>
      <c r="CA12" s="171"/>
      <c r="CB12" s="185">
        <v>904.83</v>
      </c>
      <c r="CC12" s="171">
        <v>5469.44</v>
      </c>
      <c r="CD12" s="172">
        <v>6374.27</v>
      </c>
      <c r="CE12" s="171">
        <v>56</v>
      </c>
      <c r="CF12" s="171">
        <v>91</v>
      </c>
      <c r="CG12" s="172">
        <v>461</v>
      </c>
      <c r="CH12" s="171">
        <v>64</v>
      </c>
      <c r="CI12" s="171">
        <v>391</v>
      </c>
      <c r="CJ12" s="171">
        <v>7</v>
      </c>
      <c r="CK12" s="171">
        <v>608</v>
      </c>
      <c r="CL12" s="171">
        <v>265</v>
      </c>
      <c r="CM12" s="171">
        <v>188</v>
      </c>
      <c r="CN12" s="173">
        <v>33.9056914893617</v>
      </c>
      <c r="CO12" s="171">
        <v>4</v>
      </c>
      <c r="CP12" s="171">
        <v>37</v>
      </c>
      <c r="CQ12" s="171">
        <v>41</v>
      </c>
      <c r="CR12" s="171">
        <v>16</v>
      </c>
      <c r="CS12" s="171">
        <v>3</v>
      </c>
      <c r="CT12" s="171">
        <v>13</v>
      </c>
      <c r="CU12" s="174">
        <v>0.15</v>
      </c>
      <c r="CV12" s="171">
        <v>2</v>
      </c>
      <c r="CW12" s="174">
        <v>0.028</v>
      </c>
      <c r="CX12" s="171">
        <v>14</v>
      </c>
      <c r="CY12" s="174">
        <v>0.074468085106383</v>
      </c>
      <c r="CZ12" s="171">
        <v>189</v>
      </c>
      <c r="DA12" s="185">
        <v>7632.9</v>
      </c>
      <c r="DB12" s="171">
        <v>10115.68</v>
      </c>
      <c r="DC12" s="172">
        <v>17748.58</v>
      </c>
      <c r="DD12" s="171">
        <v>52</v>
      </c>
      <c r="DE12" s="171">
        <v>64</v>
      </c>
      <c r="DF12" s="172">
        <v>497</v>
      </c>
      <c r="DG12" s="171">
        <v>147</v>
      </c>
      <c r="DH12" s="171">
        <v>329</v>
      </c>
      <c r="DI12" s="171">
        <v>21</v>
      </c>
      <c r="DJ12" s="171">
        <v>548</v>
      </c>
      <c r="DK12" s="171">
        <v>109</v>
      </c>
      <c r="DL12" s="171">
        <v>379</v>
      </c>
      <c r="DM12" s="173">
        <v>46.8300263852243</v>
      </c>
      <c r="DN12" s="171">
        <v>4</v>
      </c>
      <c r="DO12" s="171">
        <v>21</v>
      </c>
      <c r="DP12" s="171">
        <v>25</v>
      </c>
      <c r="DQ12" s="171">
        <v>9</v>
      </c>
      <c r="DR12" s="171">
        <v>1</v>
      </c>
      <c r="DS12" s="171">
        <v>7</v>
      </c>
      <c r="DT12" s="174">
        <v>0.12</v>
      </c>
      <c r="DU12" s="171">
        <v>0</v>
      </c>
      <c r="DV12" s="174">
        <v>0</v>
      </c>
      <c r="DW12" s="171">
        <v>9</v>
      </c>
      <c r="DX12" s="174">
        <v>0.0237467018469657</v>
      </c>
      <c r="DY12" s="171">
        <v>159</v>
      </c>
      <c r="DZ12" s="185">
        <v>11365.12</v>
      </c>
      <c r="EA12" s="171">
        <v>8463.25</v>
      </c>
      <c r="EB12" s="185">
        <v>19828.37</v>
      </c>
      <c r="EC12" s="171">
        <v>54</v>
      </c>
      <c r="ED12" s="171">
        <v>50</v>
      </c>
      <c r="EE12" s="172">
        <v>537</v>
      </c>
      <c r="EF12" s="171">
        <v>231</v>
      </c>
      <c r="EG12" s="171">
        <v>304</v>
      </c>
      <c r="EH12" s="171">
        <v>2</v>
      </c>
      <c r="EI12" s="171">
        <v>527</v>
      </c>
      <c r="EJ12" s="171">
        <v>60</v>
      </c>
      <c r="EK12" s="171">
        <v>495</v>
      </c>
      <c r="EL12" s="173">
        <v>40.0573131313131</v>
      </c>
      <c r="EM12" s="171">
        <v>13</v>
      </c>
      <c r="EN12" s="171">
        <v>13</v>
      </c>
      <c r="EO12" s="171">
        <v>26</v>
      </c>
      <c r="EP12" s="171">
        <v>10</v>
      </c>
      <c r="EQ12" s="171">
        <v>3</v>
      </c>
      <c r="ER12" s="171">
        <v>7</v>
      </c>
      <c r="ES12" s="174">
        <v>0.18</v>
      </c>
      <c r="ET12" s="171">
        <v>0</v>
      </c>
      <c r="EU12" s="174">
        <v>0</v>
      </c>
      <c r="EV12" s="171">
        <v>10</v>
      </c>
      <c r="EW12" s="174">
        <v>0.0202020202020202</v>
      </c>
      <c r="EX12" s="171">
        <v>152</v>
      </c>
      <c r="EY12" s="177">
        <v>10611.56</v>
      </c>
      <c r="EZ12" s="177">
        <v>5279.96</v>
      </c>
      <c r="FA12" s="177">
        <v>15891.52</v>
      </c>
      <c r="FB12" s="177">
        <v>57</v>
      </c>
      <c r="FC12" s="177">
        <v>80</v>
      </c>
      <c r="FD12" s="177">
        <v>682</v>
      </c>
      <c r="FE12" s="177">
        <v>247</v>
      </c>
      <c r="FF12" s="177">
        <v>398</v>
      </c>
      <c r="FG12" s="177">
        <v>37</v>
      </c>
      <c r="FH12" s="177">
        <v>627</v>
      </c>
      <c r="FI12" s="177">
        <v>82</v>
      </c>
      <c r="FJ12" s="177">
        <v>425</v>
      </c>
      <c r="FK12" s="176">
        <v>37.3918117647059</v>
      </c>
      <c r="FL12" s="177">
        <v>15</v>
      </c>
      <c r="FM12" s="177">
        <v>20</v>
      </c>
      <c r="FN12" s="177">
        <v>35</v>
      </c>
      <c r="FO12" s="177">
        <v>54</v>
      </c>
      <c r="FP12" s="177">
        <v>5</v>
      </c>
      <c r="FQ12" s="178">
        <v>9</v>
      </c>
      <c r="FR12" s="177">
        <v>4</v>
      </c>
      <c r="FS12" s="177">
        <v>5</v>
      </c>
      <c r="FT12" s="182">
        <v>0.167</v>
      </c>
      <c r="FU12" s="177">
        <v>1</v>
      </c>
      <c r="FV12" s="182">
        <v>0.048</v>
      </c>
      <c r="FW12" s="177">
        <v>8</v>
      </c>
      <c r="FX12" s="182">
        <v>0.0188235294117647</v>
      </c>
      <c r="FY12" s="200">
        <v>300</v>
      </c>
      <c r="FZ12" s="177">
        <v>2189.04</v>
      </c>
      <c r="GA12" s="177">
        <v>1714.93</v>
      </c>
      <c r="GB12" s="177">
        <v>3903.97</v>
      </c>
      <c r="GC12" s="177">
        <v>20</v>
      </c>
      <c r="GD12" s="177">
        <v>17</v>
      </c>
      <c r="GE12" s="177">
        <v>200</v>
      </c>
      <c r="GF12" s="177">
        <v>51</v>
      </c>
      <c r="GG12" s="177">
        <v>144</v>
      </c>
      <c r="GH12" s="177">
        <v>5</v>
      </c>
      <c r="GI12" s="177">
        <v>198</v>
      </c>
      <c r="GJ12" s="177">
        <v>26</v>
      </c>
      <c r="GK12" s="177">
        <v>161</v>
      </c>
      <c r="GL12" s="176">
        <v>24.2482608695652</v>
      </c>
      <c r="GM12" s="177">
        <v>3</v>
      </c>
      <c r="GN12" s="177">
        <v>10</v>
      </c>
      <c r="GO12" s="177">
        <v>13</v>
      </c>
      <c r="GP12" s="177">
        <v>3</v>
      </c>
      <c r="GQ12" s="177">
        <v>0</v>
      </c>
      <c r="GR12" s="178">
        <v>3</v>
      </c>
      <c r="GS12" s="177">
        <v>1</v>
      </c>
      <c r="GT12" s="177">
        <v>2</v>
      </c>
      <c r="GU12" s="213">
        <v>0.33</v>
      </c>
      <c r="GV12" s="177">
        <v>0</v>
      </c>
      <c r="GW12" s="182">
        <v>0</v>
      </c>
      <c r="GX12" s="177">
        <v>3</v>
      </c>
      <c r="GY12" s="182">
        <v>0.0186335403726708</v>
      </c>
      <c r="GZ12" s="200">
        <v>203</v>
      </c>
    </row>
    <row r="13" s="102" customFormat="1" ht="39" customHeight="1" spans="1:208">
      <c r="A13" s="201">
        <v>9</v>
      </c>
      <c r="B13" s="202" t="s">
        <v>28</v>
      </c>
      <c r="C13" s="203">
        <f t="shared" si="1"/>
        <v>31485</v>
      </c>
      <c r="D13" s="203">
        <f t="shared" si="2"/>
        <v>106328</v>
      </c>
      <c r="E13" s="203">
        <f t="shared" si="3"/>
        <v>145188</v>
      </c>
      <c r="F13" s="203">
        <f t="shared" si="4"/>
        <v>159</v>
      </c>
      <c r="G13" s="203">
        <f t="shared" si="5"/>
        <v>433</v>
      </c>
      <c r="H13" s="203">
        <f t="shared" si="6"/>
        <v>1987</v>
      </c>
      <c r="I13" s="203">
        <f t="shared" si="7"/>
        <v>234</v>
      </c>
      <c r="J13" s="203">
        <f t="shared" si="8"/>
        <v>1282</v>
      </c>
      <c r="K13" s="203">
        <f t="shared" si="9"/>
        <v>471</v>
      </c>
      <c r="L13" s="203">
        <f t="shared" si="10"/>
        <v>1003</v>
      </c>
      <c r="M13" s="203">
        <f t="shared" si="11"/>
        <v>199</v>
      </c>
      <c r="N13" s="203">
        <f t="shared" si="12"/>
        <v>2387</v>
      </c>
      <c r="O13" s="204">
        <f t="shared" si="13"/>
        <v>60.8244658567239</v>
      </c>
      <c r="P13" s="203">
        <f t="shared" si="14"/>
        <v>19</v>
      </c>
      <c r="Q13" s="203">
        <f t="shared" si="15"/>
        <v>66</v>
      </c>
      <c r="R13" s="205">
        <f t="shared" si="16"/>
        <v>85</v>
      </c>
      <c r="S13" s="205">
        <v>4</v>
      </c>
      <c r="T13" s="205">
        <v>2</v>
      </c>
      <c r="U13" s="206">
        <f t="shared" si="17"/>
        <v>32</v>
      </c>
      <c r="V13" s="203">
        <f t="shared" si="18"/>
        <v>3</v>
      </c>
      <c r="W13" s="203">
        <f t="shared" si="19"/>
        <v>29</v>
      </c>
      <c r="X13" s="207">
        <v>0.25</v>
      </c>
      <c r="Y13" s="203">
        <f t="shared" si="20"/>
        <v>3</v>
      </c>
      <c r="Z13" s="208">
        <f t="shared" si="21"/>
        <v>0.184</v>
      </c>
      <c r="AA13" s="209">
        <f t="shared" si="22"/>
        <v>29</v>
      </c>
      <c r="AB13" s="210">
        <f t="shared" si="23"/>
        <v>0.0121491411813992</v>
      </c>
      <c r="AC13" s="170"/>
      <c r="AD13" s="185">
        <v>0</v>
      </c>
      <c r="AE13" s="171">
        <v>20584</v>
      </c>
      <c r="AF13" s="172">
        <v>20584</v>
      </c>
      <c r="AG13" s="171">
        <v>30</v>
      </c>
      <c r="AH13" s="171">
        <v>48</v>
      </c>
      <c r="AI13" s="172">
        <v>343</v>
      </c>
      <c r="AJ13" s="171">
        <v>27</v>
      </c>
      <c r="AK13" s="171">
        <v>207</v>
      </c>
      <c r="AL13" s="171">
        <v>109</v>
      </c>
      <c r="AM13" s="171">
        <v>193</v>
      </c>
      <c r="AN13" s="171">
        <v>27</v>
      </c>
      <c r="AO13" s="171">
        <v>178</v>
      </c>
      <c r="AP13" s="173">
        <v>115.640449438202</v>
      </c>
      <c r="AQ13" s="171">
        <v>3</v>
      </c>
      <c r="AR13" s="171">
        <v>14</v>
      </c>
      <c r="AS13" s="171">
        <v>17</v>
      </c>
      <c r="AT13" s="171">
        <v>10</v>
      </c>
      <c r="AU13" s="171">
        <v>0</v>
      </c>
      <c r="AV13" s="171">
        <v>10</v>
      </c>
      <c r="AW13" s="174">
        <v>0.1</v>
      </c>
      <c r="AX13" s="171">
        <v>0</v>
      </c>
      <c r="AY13" s="174">
        <v>0</v>
      </c>
      <c r="AZ13" s="171">
        <v>10</v>
      </c>
      <c r="BA13" s="174">
        <v>0.0561797752808989</v>
      </c>
      <c r="BB13" s="171"/>
      <c r="BC13" s="185">
        <v>0</v>
      </c>
      <c r="BD13" s="171">
        <v>6200</v>
      </c>
      <c r="BE13" s="172">
        <v>13575</v>
      </c>
      <c r="BF13" s="171">
        <v>21</v>
      </c>
      <c r="BG13" s="171">
        <v>59</v>
      </c>
      <c r="BH13" s="172">
        <v>351</v>
      </c>
      <c r="BI13" s="171">
        <v>24</v>
      </c>
      <c r="BJ13" s="171">
        <v>283</v>
      </c>
      <c r="BK13" s="171">
        <v>44</v>
      </c>
      <c r="BL13" s="171">
        <v>248</v>
      </c>
      <c r="BM13" s="171">
        <v>30</v>
      </c>
      <c r="BN13" s="171">
        <v>1348</v>
      </c>
      <c r="BO13" s="173">
        <v>10.0704747774481</v>
      </c>
      <c r="BP13" s="171">
        <v>2</v>
      </c>
      <c r="BQ13" s="171">
        <v>7</v>
      </c>
      <c r="BR13" s="171">
        <v>9</v>
      </c>
      <c r="BS13" s="171">
        <v>3</v>
      </c>
      <c r="BT13" s="171">
        <v>0</v>
      </c>
      <c r="BU13" s="171">
        <v>3</v>
      </c>
      <c r="BV13" s="174">
        <v>0.25</v>
      </c>
      <c r="BW13" s="171">
        <v>0</v>
      </c>
      <c r="BX13" s="174">
        <v>0</v>
      </c>
      <c r="BY13" s="171">
        <v>3</v>
      </c>
      <c r="BZ13" s="174">
        <v>0.00148367952522255</v>
      </c>
      <c r="CA13" s="171"/>
      <c r="CB13" s="185">
        <v>25867</v>
      </c>
      <c r="CC13" s="171">
        <v>27000</v>
      </c>
      <c r="CD13" s="172">
        <v>52867</v>
      </c>
      <c r="CE13" s="171">
        <v>78</v>
      </c>
      <c r="CF13" s="171">
        <v>101</v>
      </c>
      <c r="CG13" s="172">
        <v>471</v>
      </c>
      <c r="CH13" s="171">
        <v>133</v>
      </c>
      <c r="CI13" s="171">
        <v>265</v>
      </c>
      <c r="CJ13" s="171">
        <v>73</v>
      </c>
      <c r="CK13" s="171">
        <v>182</v>
      </c>
      <c r="CL13" s="171">
        <v>62</v>
      </c>
      <c r="CM13" s="171">
        <v>346</v>
      </c>
      <c r="CN13" s="173">
        <v>152.794797687861</v>
      </c>
      <c r="CO13" s="171">
        <v>9</v>
      </c>
      <c r="CP13" s="171">
        <v>13</v>
      </c>
      <c r="CQ13" s="171">
        <v>22</v>
      </c>
      <c r="CR13" s="171">
        <v>6</v>
      </c>
      <c r="CS13" s="171">
        <v>2</v>
      </c>
      <c r="CT13" s="171">
        <v>4</v>
      </c>
      <c r="CU13" s="174">
        <v>0.1</v>
      </c>
      <c r="CV13" s="171">
        <v>1</v>
      </c>
      <c r="CW13" s="174">
        <v>0.038</v>
      </c>
      <c r="CX13" s="171">
        <v>5</v>
      </c>
      <c r="CY13" s="174">
        <v>0.0144508670520231</v>
      </c>
      <c r="CZ13" s="171"/>
      <c r="DA13" s="185">
        <v>5618</v>
      </c>
      <c r="DB13" s="171">
        <v>21993</v>
      </c>
      <c r="DC13" s="172">
        <v>27611</v>
      </c>
      <c r="DD13" s="171">
        <v>12</v>
      </c>
      <c r="DE13" s="171">
        <v>76</v>
      </c>
      <c r="DF13" s="172">
        <v>324</v>
      </c>
      <c r="DG13" s="171">
        <v>18</v>
      </c>
      <c r="DH13" s="171">
        <v>217</v>
      </c>
      <c r="DI13" s="171">
        <v>89</v>
      </c>
      <c r="DJ13" s="171">
        <v>147</v>
      </c>
      <c r="DK13" s="171">
        <v>18</v>
      </c>
      <c r="DL13" s="171">
        <v>217</v>
      </c>
      <c r="DM13" s="173">
        <v>127.239631336406</v>
      </c>
      <c r="DN13" s="171">
        <v>2</v>
      </c>
      <c r="DO13" s="171">
        <v>8</v>
      </c>
      <c r="DP13" s="171">
        <v>10</v>
      </c>
      <c r="DQ13" s="171">
        <v>2</v>
      </c>
      <c r="DR13" s="171">
        <v>0</v>
      </c>
      <c r="DS13" s="171">
        <v>2</v>
      </c>
      <c r="DT13" s="174">
        <v>0.1</v>
      </c>
      <c r="DU13" s="171">
        <v>0</v>
      </c>
      <c r="DV13" s="174">
        <v>0</v>
      </c>
      <c r="DW13" s="171">
        <v>2</v>
      </c>
      <c r="DX13" s="174">
        <v>0.00921658986175115</v>
      </c>
      <c r="DY13" s="171"/>
      <c r="DZ13" s="185">
        <v>0</v>
      </c>
      <c r="EA13" s="171">
        <v>13811</v>
      </c>
      <c r="EB13" s="172">
        <v>13811</v>
      </c>
      <c r="EC13" s="171">
        <v>18</v>
      </c>
      <c r="ED13" s="171">
        <v>58</v>
      </c>
      <c r="EE13" s="172">
        <v>210</v>
      </c>
      <c r="EF13" s="171">
        <v>32</v>
      </c>
      <c r="EG13" s="171">
        <v>109</v>
      </c>
      <c r="EH13" s="171">
        <v>69</v>
      </c>
      <c r="EI13" s="171">
        <v>80</v>
      </c>
      <c r="EJ13" s="171">
        <v>32</v>
      </c>
      <c r="EK13" s="171">
        <v>109</v>
      </c>
      <c r="EL13" s="173">
        <v>126.706422018349</v>
      </c>
      <c r="EM13" s="171">
        <v>3</v>
      </c>
      <c r="EN13" s="171">
        <v>12</v>
      </c>
      <c r="EO13" s="171">
        <v>15</v>
      </c>
      <c r="EP13" s="171">
        <v>6</v>
      </c>
      <c r="EQ13" s="171">
        <v>1</v>
      </c>
      <c r="ER13" s="171">
        <v>5</v>
      </c>
      <c r="ES13" s="174">
        <v>0.1</v>
      </c>
      <c r="ET13" s="171">
        <v>1</v>
      </c>
      <c r="EU13" s="174">
        <v>0.063</v>
      </c>
      <c r="EV13" s="171">
        <v>5</v>
      </c>
      <c r="EW13" s="174">
        <v>0.0458715596330275</v>
      </c>
      <c r="EX13" s="171"/>
      <c r="EY13" s="177">
        <v>0</v>
      </c>
      <c r="EZ13" s="177">
        <v>16740</v>
      </c>
      <c r="FA13" s="177">
        <v>16740</v>
      </c>
      <c r="FB13" s="177">
        <v>0</v>
      </c>
      <c r="FC13" s="177">
        <v>74</v>
      </c>
      <c r="FD13" s="177">
        <v>230</v>
      </c>
      <c r="FE13" s="177">
        <v>0</v>
      </c>
      <c r="FF13" s="177">
        <v>164</v>
      </c>
      <c r="FG13" s="177">
        <v>66</v>
      </c>
      <c r="FH13" s="177">
        <v>130</v>
      </c>
      <c r="FI13" s="177">
        <v>18</v>
      </c>
      <c r="FJ13" s="177">
        <v>164</v>
      </c>
      <c r="FK13" s="211">
        <v>102.073170731707</v>
      </c>
      <c r="FL13" s="177">
        <v>0</v>
      </c>
      <c r="FM13" s="177">
        <v>11</v>
      </c>
      <c r="FN13" s="177">
        <v>11</v>
      </c>
      <c r="FO13" s="177">
        <v>14</v>
      </c>
      <c r="FP13" s="177">
        <v>11</v>
      </c>
      <c r="FQ13" s="178">
        <v>3</v>
      </c>
      <c r="FR13" s="181">
        <v>0</v>
      </c>
      <c r="FS13" s="181">
        <v>3</v>
      </c>
      <c r="FT13" s="182">
        <v>0.214</v>
      </c>
      <c r="FU13" s="181">
        <v>0</v>
      </c>
      <c r="FV13" s="180">
        <v>0</v>
      </c>
      <c r="FW13" s="181">
        <v>3</v>
      </c>
      <c r="FX13" s="182">
        <v>0.0182926829268293</v>
      </c>
      <c r="FY13" s="183"/>
      <c r="FZ13" s="177">
        <v>0</v>
      </c>
      <c r="GA13" s="177">
        <v>0</v>
      </c>
      <c r="GB13" s="177">
        <v>0</v>
      </c>
      <c r="GC13" s="177">
        <v>0</v>
      </c>
      <c r="GD13" s="177">
        <v>17</v>
      </c>
      <c r="GE13" s="177">
        <v>58</v>
      </c>
      <c r="GF13" s="177">
        <v>0</v>
      </c>
      <c r="GG13" s="177">
        <v>37</v>
      </c>
      <c r="GH13" s="177">
        <v>21</v>
      </c>
      <c r="GI13" s="177">
        <v>23</v>
      </c>
      <c r="GJ13" s="177">
        <v>12</v>
      </c>
      <c r="GK13" s="177">
        <v>25</v>
      </c>
      <c r="GL13" s="211">
        <v>0</v>
      </c>
      <c r="GM13" s="177">
        <v>0</v>
      </c>
      <c r="GN13" s="177">
        <v>1</v>
      </c>
      <c r="GO13" s="177">
        <v>1</v>
      </c>
      <c r="GP13" s="177">
        <v>4</v>
      </c>
      <c r="GQ13" s="177">
        <v>2</v>
      </c>
      <c r="GR13" s="178">
        <v>2</v>
      </c>
      <c r="GS13" s="181">
        <v>0</v>
      </c>
      <c r="GT13" s="181">
        <v>2</v>
      </c>
      <c r="GU13" s="182">
        <v>0.25</v>
      </c>
      <c r="GV13" s="181">
        <v>1</v>
      </c>
      <c r="GW13" s="180">
        <v>0.083</v>
      </c>
      <c r="GX13" s="181">
        <v>1</v>
      </c>
      <c r="GY13" s="182">
        <v>0.04</v>
      </c>
      <c r="GZ13" s="183"/>
    </row>
    <row r="14" s="101" customFormat="1" ht="39" customHeight="1" spans="1:208">
      <c r="A14" s="190">
        <v>10</v>
      </c>
      <c r="B14" s="50" t="s">
        <v>29</v>
      </c>
      <c r="C14" s="191">
        <f t="shared" si="1"/>
        <v>243673.29</v>
      </c>
      <c r="D14" s="191">
        <f t="shared" si="2"/>
        <v>281600.38</v>
      </c>
      <c r="E14" s="191">
        <f t="shared" si="3"/>
        <v>525273.67</v>
      </c>
      <c r="F14" s="191">
        <f t="shared" si="4"/>
        <v>462</v>
      </c>
      <c r="G14" s="191">
        <f t="shared" si="5"/>
        <v>600</v>
      </c>
      <c r="H14" s="191">
        <f t="shared" si="6"/>
        <v>6538</v>
      </c>
      <c r="I14" s="191">
        <f t="shared" si="7"/>
        <v>2621</v>
      </c>
      <c r="J14" s="191">
        <f t="shared" si="8"/>
        <v>3506</v>
      </c>
      <c r="K14" s="191">
        <f t="shared" si="9"/>
        <v>420</v>
      </c>
      <c r="L14" s="191">
        <f t="shared" si="10"/>
        <v>5783</v>
      </c>
      <c r="M14" s="191">
        <f t="shared" si="11"/>
        <v>650</v>
      </c>
      <c r="N14" s="191">
        <f t="shared" si="12"/>
        <v>5930</v>
      </c>
      <c r="O14" s="192">
        <f t="shared" si="13"/>
        <v>88.5790337268128</v>
      </c>
      <c r="P14" s="191">
        <f t="shared" si="14"/>
        <v>380</v>
      </c>
      <c r="Q14" s="191">
        <f t="shared" si="15"/>
        <v>222</v>
      </c>
      <c r="R14" s="193">
        <f t="shared" si="16"/>
        <v>602</v>
      </c>
      <c r="S14" s="193">
        <v>50</v>
      </c>
      <c r="T14" s="193">
        <v>9</v>
      </c>
      <c r="U14" s="194">
        <f t="shared" si="17"/>
        <v>122</v>
      </c>
      <c r="V14" s="191">
        <f t="shared" si="18"/>
        <v>87</v>
      </c>
      <c r="W14" s="191">
        <f t="shared" si="19"/>
        <v>35</v>
      </c>
      <c r="X14" s="195">
        <v>0.321</v>
      </c>
      <c r="Y14" s="191">
        <f t="shared" si="20"/>
        <v>0</v>
      </c>
      <c r="Z14" s="196">
        <f t="shared" si="21"/>
        <v>0.2</v>
      </c>
      <c r="AA14" s="197">
        <f t="shared" si="22"/>
        <v>122</v>
      </c>
      <c r="AB14" s="198">
        <f t="shared" si="23"/>
        <v>0.0205733558178752</v>
      </c>
      <c r="AC14" s="199">
        <v>122</v>
      </c>
      <c r="AD14" s="185">
        <v>30084.76</v>
      </c>
      <c r="AE14" s="171">
        <v>26868.5</v>
      </c>
      <c r="AF14" s="172">
        <v>56953.26</v>
      </c>
      <c r="AG14" s="171">
        <v>70</v>
      </c>
      <c r="AH14" s="171">
        <v>66</v>
      </c>
      <c r="AI14" s="172">
        <v>467</v>
      </c>
      <c r="AJ14" s="171">
        <v>223</v>
      </c>
      <c r="AK14" s="171">
        <v>242</v>
      </c>
      <c r="AL14" s="171">
        <v>2</v>
      </c>
      <c r="AM14" s="171">
        <v>347</v>
      </c>
      <c r="AN14" s="171">
        <v>61</v>
      </c>
      <c r="AO14" s="171">
        <v>406</v>
      </c>
      <c r="AP14" s="173">
        <v>140.278965517241</v>
      </c>
      <c r="AQ14" s="171">
        <v>70</v>
      </c>
      <c r="AR14" s="171">
        <v>29</v>
      </c>
      <c r="AS14" s="171">
        <v>99</v>
      </c>
      <c r="AT14" s="171">
        <v>19</v>
      </c>
      <c r="AU14" s="171">
        <v>15</v>
      </c>
      <c r="AV14" s="171">
        <v>4</v>
      </c>
      <c r="AW14" s="174">
        <v>0.1</v>
      </c>
      <c r="AX14" s="171">
        <v>0</v>
      </c>
      <c r="AY14" s="174">
        <v>0</v>
      </c>
      <c r="AZ14" s="171">
        <v>19</v>
      </c>
      <c r="BA14" s="174">
        <v>0.0344827586206897</v>
      </c>
      <c r="BB14" s="171">
        <v>82</v>
      </c>
      <c r="BC14" s="185">
        <v>25735.83</v>
      </c>
      <c r="BD14" s="171">
        <v>31915.64</v>
      </c>
      <c r="BE14" s="172">
        <v>57651.47</v>
      </c>
      <c r="BF14" s="171">
        <v>61</v>
      </c>
      <c r="BG14" s="171">
        <v>52</v>
      </c>
      <c r="BH14" s="172">
        <v>671</v>
      </c>
      <c r="BI14" s="171">
        <v>261</v>
      </c>
      <c r="BJ14" s="171">
        <v>374</v>
      </c>
      <c r="BK14" s="171">
        <v>36</v>
      </c>
      <c r="BL14" s="171">
        <v>523</v>
      </c>
      <c r="BM14" s="171">
        <v>75</v>
      </c>
      <c r="BN14" s="171">
        <v>634</v>
      </c>
      <c r="BO14" s="173">
        <v>90.9329179810726</v>
      </c>
      <c r="BP14" s="171">
        <v>32</v>
      </c>
      <c r="BQ14" s="171">
        <v>35</v>
      </c>
      <c r="BR14" s="171">
        <v>67</v>
      </c>
      <c r="BS14" s="171">
        <v>5</v>
      </c>
      <c r="BT14" s="171">
        <v>4</v>
      </c>
      <c r="BU14" s="171">
        <v>1</v>
      </c>
      <c r="BV14" s="174">
        <v>0.22</v>
      </c>
      <c r="BW14" s="171">
        <v>0</v>
      </c>
      <c r="BX14" s="174">
        <v>0</v>
      </c>
      <c r="BY14" s="171">
        <v>5</v>
      </c>
      <c r="BZ14" s="174">
        <v>0.00788643533123028</v>
      </c>
      <c r="CA14" s="171">
        <v>96</v>
      </c>
      <c r="CB14" s="185">
        <v>47225.01</v>
      </c>
      <c r="CC14" s="171">
        <v>44540.9</v>
      </c>
      <c r="CD14" s="172">
        <v>91765.91</v>
      </c>
      <c r="CE14" s="171">
        <v>83</v>
      </c>
      <c r="CF14" s="171">
        <v>91</v>
      </c>
      <c r="CG14" s="172">
        <v>1074</v>
      </c>
      <c r="CH14" s="171">
        <v>498</v>
      </c>
      <c r="CI14" s="171">
        <v>540</v>
      </c>
      <c r="CJ14" s="171">
        <v>45</v>
      </c>
      <c r="CK14" s="171">
        <v>959</v>
      </c>
      <c r="CL14" s="171">
        <v>120</v>
      </c>
      <c r="CM14" s="171">
        <v>1005</v>
      </c>
      <c r="CN14" s="173">
        <v>91.3093631840796</v>
      </c>
      <c r="CO14" s="171">
        <v>55</v>
      </c>
      <c r="CP14" s="171">
        <v>36</v>
      </c>
      <c r="CQ14" s="171">
        <v>91</v>
      </c>
      <c r="CR14" s="171">
        <v>21</v>
      </c>
      <c r="CS14" s="171">
        <v>14</v>
      </c>
      <c r="CT14" s="171">
        <v>7</v>
      </c>
      <c r="CU14" s="174">
        <v>0.102</v>
      </c>
      <c r="CV14" s="171">
        <v>0</v>
      </c>
      <c r="CW14" s="174">
        <v>0</v>
      </c>
      <c r="CX14" s="171">
        <v>21</v>
      </c>
      <c r="CY14" s="174">
        <v>0.0208955223880597</v>
      </c>
      <c r="CZ14" s="171">
        <v>25</v>
      </c>
      <c r="DA14" s="185">
        <v>48197.81</v>
      </c>
      <c r="DB14" s="171">
        <v>16723.67</v>
      </c>
      <c r="DC14" s="172">
        <v>64921.48</v>
      </c>
      <c r="DD14" s="171">
        <v>75</v>
      </c>
      <c r="DE14" s="171">
        <v>84</v>
      </c>
      <c r="DF14" s="172">
        <v>840</v>
      </c>
      <c r="DG14" s="171">
        <v>603</v>
      </c>
      <c r="DH14" s="171">
        <v>183</v>
      </c>
      <c r="DI14" s="171">
        <v>54</v>
      </c>
      <c r="DJ14" s="171">
        <v>732</v>
      </c>
      <c r="DK14" s="171">
        <v>59</v>
      </c>
      <c r="DL14" s="171">
        <v>779</v>
      </c>
      <c r="DM14" s="173">
        <v>83.339512195122</v>
      </c>
      <c r="DN14" s="171">
        <v>80</v>
      </c>
      <c r="DO14" s="171">
        <v>47</v>
      </c>
      <c r="DP14" s="171">
        <v>127</v>
      </c>
      <c r="DQ14" s="171">
        <v>22</v>
      </c>
      <c r="DR14" s="171">
        <v>18</v>
      </c>
      <c r="DS14" s="171">
        <v>4</v>
      </c>
      <c r="DT14" s="174">
        <v>0.169</v>
      </c>
      <c r="DU14" s="171">
        <v>0</v>
      </c>
      <c r="DV14" s="174">
        <v>0</v>
      </c>
      <c r="DW14" s="171">
        <v>22</v>
      </c>
      <c r="DX14" s="174">
        <v>0.0282413350449294</v>
      </c>
      <c r="DY14" s="171">
        <v>69</v>
      </c>
      <c r="DZ14" s="185">
        <v>43550.86</v>
      </c>
      <c r="EA14" s="171">
        <v>76139.35</v>
      </c>
      <c r="EB14" s="185">
        <v>119690.21</v>
      </c>
      <c r="EC14" s="171">
        <v>66</v>
      </c>
      <c r="ED14" s="171">
        <v>91</v>
      </c>
      <c r="EE14" s="172">
        <v>1537</v>
      </c>
      <c r="EF14" s="171">
        <v>479</v>
      </c>
      <c r="EG14" s="171">
        <v>953</v>
      </c>
      <c r="EH14" s="171">
        <v>105</v>
      </c>
      <c r="EI14" s="171">
        <v>1474</v>
      </c>
      <c r="EJ14" s="171">
        <v>129</v>
      </c>
      <c r="EK14" s="171">
        <v>1398</v>
      </c>
      <c r="EL14" s="173">
        <v>85.6153147353362</v>
      </c>
      <c r="EM14" s="171">
        <v>54</v>
      </c>
      <c r="EN14" s="171">
        <v>35</v>
      </c>
      <c r="EO14" s="171">
        <v>89</v>
      </c>
      <c r="EP14" s="171">
        <v>25</v>
      </c>
      <c r="EQ14" s="171">
        <v>18</v>
      </c>
      <c r="ER14" s="171">
        <v>7</v>
      </c>
      <c r="ES14" s="174">
        <v>0.185</v>
      </c>
      <c r="ET14" s="171">
        <v>0</v>
      </c>
      <c r="EU14" s="174">
        <v>0.2</v>
      </c>
      <c r="EV14" s="171">
        <v>25</v>
      </c>
      <c r="EW14" s="174">
        <v>0.0178826895565093</v>
      </c>
      <c r="EX14" s="171">
        <v>12</v>
      </c>
      <c r="EY14" s="177">
        <v>36624.52</v>
      </c>
      <c r="EZ14" s="177">
        <v>60099.82</v>
      </c>
      <c r="FA14" s="177">
        <v>96724.34</v>
      </c>
      <c r="FB14" s="177">
        <v>71</v>
      </c>
      <c r="FC14" s="177">
        <v>151</v>
      </c>
      <c r="FD14" s="177">
        <v>1391</v>
      </c>
      <c r="FE14" s="177">
        <v>412</v>
      </c>
      <c r="FF14" s="177">
        <v>855</v>
      </c>
      <c r="FG14" s="177">
        <v>124</v>
      </c>
      <c r="FH14" s="177">
        <v>1305</v>
      </c>
      <c r="FI14" s="177">
        <v>140</v>
      </c>
      <c r="FJ14" s="177">
        <v>1265</v>
      </c>
      <c r="FK14" s="176">
        <v>76.4619288537549</v>
      </c>
      <c r="FL14" s="177">
        <v>61</v>
      </c>
      <c r="FM14" s="177">
        <v>20</v>
      </c>
      <c r="FN14" s="177">
        <v>81</v>
      </c>
      <c r="FO14" s="177">
        <v>102</v>
      </c>
      <c r="FP14" s="177">
        <v>20</v>
      </c>
      <c r="FQ14" s="178">
        <v>20</v>
      </c>
      <c r="FR14" s="177">
        <v>12</v>
      </c>
      <c r="FS14" s="177">
        <v>8</v>
      </c>
      <c r="FT14" s="182">
        <v>0.196</v>
      </c>
      <c r="FU14" s="177">
        <v>0</v>
      </c>
      <c r="FV14" s="182">
        <v>0</v>
      </c>
      <c r="FW14" s="177">
        <v>20</v>
      </c>
      <c r="FX14" s="182">
        <v>0.0158102766798419</v>
      </c>
      <c r="FY14" s="200">
        <v>20</v>
      </c>
      <c r="FZ14" s="177">
        <v>12254.5</v>
      </c>
      <c r="GA14" s="177">
        <v>25312.5</v>
      </c>
      <c r="GB14" s="177">
        <v>37567</v>
      </c>
      <c r="GC14" s="177">
        <v>36</v>
      </c>
      <c r="GD14" s="177">
        <v>65</v>
      </c>
      <c r="GE14" s="177">
        <v>558</v>
      </c>
      <c r="GF14" s="177">
        <v>145</v>
      </c>
      <c r="GG14" s="177">
        <v>359</v>
      </c>
      <c r="GH14" s="177">
        <v>54</v>
      </c>
      <c r="GI14" s="177">
        <v>443</v>
      </c>
      <c r="GJ14" s="177">
        <v>66</v>
      </c>
      <c r="GK14" s="177">
        <v>443</v>
      </c>
      <c r="GL14" s="176">
        <v>84.8013544018059</v>
      </c>
      <c r="GM14" s="177">
        <v>28</v>
      </c>
      <c r="GN14" s="177">
        <v>20</v>
      </c>
      <c r="GO14" s="177">
        <v>48</v>
      </c>
      <c r="GP14" s="177">
        <v>50</v>
      </c>
      <c r="GQ14" s="177">
        <v>9</v>
      </c>
      <c r="GR14" s="178">
        <v>10</v>
      </c>
      <c r="GS14" s="177">
        <v>6</v>
      </c>
      <c r="GT14" s="177">
        <v>4</v>
      </c>
      <c r="GU14" s="182">
        <v>0.321</v>
      </c>
      <c r="GV14" s="177">
        <v>0</v>
      </c>
      <c r="GW14" s="182">
        <v>0</v>
      </c>
      <c r="GX14" s="177">
        <v>10</v>
      </c>
      <c r="GY14" s="182">
        <v>0.0225733634311512</v>
      </c>
      <c r="GZ14" s="200">
        <v>122</v>
      </c>
    </row>
    <row r="15" s="102" customFormat="1" ht="39" customHeight="1" spans="1:208">
      <c r="A15" s="201">
        <v>11</v>
      </c>
      <c r="B15" s="202" t="s">
        <v>30</v>
      </c>
      <c r="C15" s="203">
        <f t="shared" si="1"/>
        <v>193560.67</v>
      </c>
      <c r="D15" s="203">
        <f t="shared" si="2"/>
        <v>288808.13</v>
      </c>
      <c r="E15" s="203">
        <f t="shared" si="3"/>
        <v>482368.8</v>
      </c>
      <c r="F15" s="203">
        <f t="shared" si="4"/>
        <v>606</v>
      </c>
      <c r="G15" s="203">
        <f t="shared" si="5"/>
        <v>668</v>
      </c>
      <c r="H15" s="203">
        <f t="shared" si="6"/>
        <v>7545</v>
      </c>
      <c r="I15" s="203">
        <f t="shared" si="7"/>
        <v>3618</v>
      </c>
      <c r="J15" s="203">
        <f t="shared" si="8"/>
        <v>3816</v>
      </c>
      <c r="K15" s="203">
        <f t="shared" si="9"/>
        <v>111</v>
      </c>
      <c r="L15" s="203">
        <f t="shared" si="10"/>
        <v>6829</v>
      </c>
      <c r="M15" s="203">
        <f t="shared" si="11"/>
        <v>1184</v>
      </c>
      <c r="N15" s="203">
        <f t="shared" si="12"/>
        <v>6368</v>
      </c>
      <c r="O15" s="204">
        <f t="shared" si="13"/>
        <v>75.7488693467337</v>
      </c>
      <c r="P15" s="203">
        <f t="shared" si="14"/>
        <v>325</v>
      </c>
      <c r="Q15" s="203">
        <f t="shared" si="15"/>
        <v>204</v>
      </c>
      <c r="R15" s="205">
        <f t="shared" si="16"/>
        <v>529</v>
      </c>
      <c r="S15" s="205">
        <v>42</v>
      </c>
      <c r="T15" s="205">
        <v>11</v>
      </c>
      <c r="U15" s="206">
        <f t="shared" si="17"/>
        <v>143</v>
      </c>
      <c r="V15" s="203">
        <f t="shared" si="18"/>
        <v>103</v>
      </c>
      <c r="W15" s="203">
        <f t="shared" si="19"/>
        <v>40</v>
      </c>
      <c r="X15" s="207">
        <v>0.25</v>
      </c>
      <c r="Y15" s="203">
        <f t="shared" si="20"/>
        <v>6</v>
      </c>
      <c r="Z15" s="208">
        <f t="shared" si="21"/>
        <v>0.064</v>
      </c>
      <c r="AA15" s="209">
        <f t="shared" si="22"/>
        <v>137</v>
      </c>
      <c r="AB15" s="210">
        <f t="shared" si="23"/>
        <v>0.0215138190954774</v>
      </c>
      <c r="AC15" s="170">
        <v>38</v>
      </c>
      <c r="AD15" s="185">
        <v>34422</v>
      </c>
      <c r="AE15" s="171">
        <v>35152</v>
      </c>
      <c r="AF15" s="172">
        <v>69574</v>
      </c>
      <c r="AG15" s="171">
        <v>60</v>
      </c>
      <c r="AH15" s="171">
        <v>80</v>
      </c>
      <c r="AI15" s="172">
        <v>593</v>
      </c>
      <c r="AJ15" s="171">
        <v>314</v>
      </c>
      <c r="AK15" s="171">
        <v>279</v>
      </c>
      <c r="AL15" s="171">
        <v>0</v>
      </c>
      <c r="AM15" s="171">
        <v>505</v>
      </c>
      <c r="AN15" s="171">
        <v>56</v>
      </c>
      <c r="AO15" s="171">
        <v>537</v>
      </c>
      <c r="AP15" s="173">
        <v>129.56052141527</v>
      </c>
      <c r="AQ15" s="171">
        <v>38</v>
      </c>
      <c r="AR15" s="171">
        <v>16</v>
      </c>
      <c r="AS15" s="171">
        <v>54</v>
      </c>
      <c r="AT15" s="171">
        <v>12</v>
      </c>
      <c r="AU15" s="171">
        <v>9</v>
      </c>
      <c r="AV15" s="171">
        <v>3</v>
      </c>
      <c r="AW15" s="174">
        <v>0.17</v>
      </c>
      <c r="AX15" s="171">
        <v>0</v>
      </c>
      <c r="AY15" s="174">
        <v>0</v>
      </c>
      <c r="AZ15" s="171">
        <v>12</v>
      </c>
      <c r="BA15" s="174">
        <v>0.0204841713221601</v>
      </c>
      <c r="BB15" s="171">
        <v>140</v>
      </c>
      <c r="BC15" s="185">
        <v>9577.67</v>
      </c>
      <c r="BD15" s="171">
        <v>20477.13</v>
      </c>
      <c r="BE15" s="172">
        <v>30054.8</v>
      </c>
      <c r="BF15" s="171">
        <v>58</v>
      </c>
      <c r="BG15" s="171">
        <v>88</v>
      </c>
      <c r="BH15" s="172">
        <v>461</v>
      </c>
      <c r="BI15" s="171">
        <v>227</v>
      </c>
      <c r="BJ15" s="171">
        <v>234</v>
      </c>
      <c r="BK15" s="171">
        <v>0</v>
      </c>
      <c r="BL15" s="171">
        <v>385</v>
      </c>
      <c r="BM15" s="171">
        <v>124</v>
      </c>
      <c r="BN15" s="171">
        <v>337</v>
      </c>
      <c r="BO15" s="173">
        <v>89.1833827893175</v>
      </c>
      <c r="BP15" s="171">
        <v>23</v>
      </c>
      <c r="BQ15" s="171">
        <v>24</v>
      </c>
      <c r="BR15" s="171">
        <v>47</v>
      </c>
      <c r="BS15" s="171">
        <v>11</v>
      </c>
      <c r="BT15" s="171">
        <v>5</v>
      </c>
      <c r="BU15" s="171">
        <v>6</v>
      </c>
      <c r="BV15" s="174">
        <v>0.33</v>
      </c>
      <c r="BW15" s="171">
        <v>0</v>
      </c>
      <c r="BX15" s="174">
        <v>0</v>
      </c>
      <c r="BY15" s="171">
        <v>11</v>
      </c>
      <c r="BZ15" s="174">
        <v>0.0326409495548961</v>
      </c>
      <c r="CA15" s="171">
        <v>163</v>
      </c>
      <c r="CB15" s="185">
        <v>25033</v>
      </c>
      <c r="CC15" s="171">
        <v>45445</v>
      </c>
      <c r="CD15" s="172">
        <v>70478</v>
      </c>
      <c r="CE15" s="171">
        <v>89</v>
      </c>
      <c r="CF15" s="171">
        <v>99</v>
      </c>
      <c r="CG15" s="172">
        <v>1200</v>
      </c>
      <c r="CH15" s="171">
        <v>514</v>
      </c>
      <c r="CI15" s="171">
        <v>686</v>
      </c>
      <c r="CJ15" s="171">
        <v>0</v>
      </c>
      <c r="CK15" s="171">
        <v>1080</v>
      </c>
      <c r="CL15" s="171">
        <v>254</v>
      </c>
      <c r="CM15" s="171">
        <v>946</v>
      </c>
      <c r="CN15" s="173">
        <v>74.5010570824524</v>
      </c>
      <c r="CO15" s="171">
        <v>55</v>
      </c>
      <c r="CP15" s="171">
        <v>37</v>
      </c>
      <c r="CQ15" s="171">
        <v>92</v>
      </c>
      <c r="CR15" s="171">
        <v>24</v>
      </c>
      <c r="CS15" s="171">
        <v>14</v>
      </c>
      <c r="CT15" s="171">
        <v>10</v>
      </c>
      <c r="CU15" s="174">
        <v>0.2</v>
      </c>
      <c r="CV15" s="171">
        <v>2</v>
      </c>
      <c r="CW15" s="174">
        <v>0.017</v>
      </c>
      <c r="CX15" s="171">
        <v>22</v>
      </c>
      <c r="CY15" s="174">
        <v>0.0232558139534884</v>
      </c>
      <c r="CZ15" s="171">
        <v>10</v>
      </c>
      <c r="DA15" s="185">
        <v>36306</v>
      </c>
      <c r="DB15" s="171">
        <v>23409</v>
      </c>
      <c r="DC15" s="172">
        <v>59715</v>
      </c>
      <c r="DD15" s="171">
        <v>120</v>
      </c>
      <c r="DE15" s="171">
        <v>119</v>
      </c>
      <c r="DF15" s="172">
        <v>1337</v>
      </c>
      <c r="DG15" s="171">
        <v>893</v>
      </c>
      <c r="DH15" s="171">
        <v>432</v>
      </c>
      <c r="DI15" s="171">
        <v>12</v>
      </c>
      <c r="DJ15" s="171">
        <v>1185</v>
      </c>
      <c r="DK15" s="171">
        <v>371</v>
      </c>
      <c r="DL15" s="171">
        <v>954</v>
      </c>
      <c r="DM15" s="173">
        <v>62.5943396226415</v>
      </c>
      <c r="DN15" s="171">
        <v>74</v>
      </c>
      <c r="DO15" s="171">
        <v>46</v>
      </c>
      <c r="DP15" s="171">
        <v>120</v>
      </c>
      <c r="DQ15" s="171">
        <v>35</v>
      </c>
      <c r="DR15" s="171">
        <v>26</v>
      </c>
      <c r="DS15" s="171">
        <v>9</v>
      </c>
      <c r="DT15" s="174">
        <v>0.2</v>
      </c>
      <c r="DU15" s="171">
        <v>3</v>
      </c>
      <c r="DV15" s="174">
        <v>0.035</v>
      </c>
      <c r="DW15" s="171">
        <v>32</v>
      </c>
      <c r="DX15" s="174">
        <v>0.0335429769392034</v>
      </c>
      <c r="DY15" s="171">
        <v>39</v>
      </c>
      <c r="DZ15" s="185">
        <v>33880</v>
      </c>
      <c r="EA15" s="171">
        <v>78339</v>
      </c>
      <c r="EB15" s="172">
        <v>112219</v>
      </c>
      <c r="EC15" s="171">
        <v>111</v>
      </c>
      <c r="ED15" s="171">
        <v>116</v>
      </c>
      <c r="EE15" s="172">
        <v>1860</v>
      </c>
      <c r="EF15" s="171">
        <v>708</v>
      </c>
      <c r="EG15" s="171">
        <v>1094</v>
      </c>
      <c r="EH15" s="171">
        <v>58</v>
      </c>
      <c r="EI15" s="171">
        <v>1740</v>
      </c>
      <c r="EJ15" s="171">
        <v>187</v>
      </c>
      <c r="EK15" s="171">
        <v>1676</v>
      </c>
      <c r="EL15" s="173">
        <v>66.9564439140811</v>
      </c>
      <c r="EM15" s="171">
        <v>54</v>
      </c>
      <c r="EN15" s="171">
        <v>38</v>
      </c>
      <c r="EO15" s="171">
        <v>92</v>
      </c>
      <c r="EP15" s="171">
        <v>27</v>
      </c>
      <c r="EQ15" s="171">
        <v>20</v>
      </c>
      <c r="ER15" s="171">
        <v>7</v>
      </c>
      <c r="ES15" s="174">
        <v>0.2</v>
      </c>
      <c r="ET15" s="171">
        <v>1</v>
      </c>
      <c r="EU15" s="174">
        <v>0.012</v>
      </c>
      <c r="EV15" s="171">
        <v>26</v>
      </c>
      <c r="EW15" s="174">
        <v>0.0155131264916468</v>
      </c>
      <c r="EX15" s="171">
        <v>10</v>
      </c>
      <c r="EY15" s="177">
        <v>39507</v>
      </c>
      <c r="EZ15" s="177">
        <v>60516</v>
      </c>
      <c r="FA15" s="177">
        <v>100023</v>
      </c>
      <c r="FB15" s="177">
        <v>116</v>
      </c>
      <c r="FC15" s="177">
        <v>106</v>
      </c>
      <c r="FD15" s="177">
        <v>1548</v>
      </c>
      <c r="FE15" s="177">
        <v>734</v>
      </c>
      <c r="FF15" s="177">
        <v>786</v>
      </c>
      <c r="FG15" s="177">
        <v>28</v>
      </c>
      <c r="FH15" s="177">
        <v>1433</v>
      </c>
      <c r="FI15" s="177">
        <v>176</v>
      </c>
      <c r="FJ15" s="177">
        <v>1393</v>
      </c>
      <c r="FK15" s="211">
        <v>71.8040201005025</v>
      </c>
      <c r="FL15" s="177">
        <v>56</v>
      </c>
      <c r="FM15" s="177">
        <v>35</v>
      </c>
      <c r="FN15" s="177">
        <v>91</v>
      </c>
      <c r="FO15" s="177">
        <v>111</v>
      </c>
      <c r="FP15" s="177">
        <v>26</v>
      </c>
      <c r="FQ15" s="178">
        <v>23</v>
      </c>
      <c r="FR15" s="181">
        <v>19</v>
      </c>
      <c r="FS15" s="181">
        <v>4</v>
      </c>
      <c r="FT15" s="182">
        <v>0.21</v>
      </c>
      <c r="FU15" s="181">
        <v>0</v>
      </c>
      <c r="FV15" s="180">
        <v>0</v>
      </c>
      <c r="FW15" s="181">
        <v>23</v>
      </c>
      <c r="FX15" s="182">
        <v>0.0165111270638909</v>
      </c>
      <c r="FY15" s="183">
        <v>15</v>
      </c>
      <c r="FZ15" s="177">
        <v>14835</v>
      </c>
      <c r="GA15" s="177">
        <v>25470</v>
      </c>
      <c r="GB15" s="177">
        <v>40305</v>
      </c>
      <c r="GC15" s="177">
        <v>52</v>
      </c>
      <c r="GD15" s="177">
        <v>60</v>
      </c>
      <c r="GE15" s="177">
        <v>546</v>
      </c>
      <c r="GF15" s="177">
        <v>228</v>
      </c>
      <c r="GG15" s="177">
        <v>305</v>
      </c>
      <c r="GH15" s="177">
        <v>13</v>
      </c>
      <c r="GI15" s="177">
        <v>501</v>
      </c>
      <c r="GJ15" s="177">
        <v>16</v>
      </c>
      <c r="GK15" s="177">
        <v>525</v>
      </c>
      <c r="GL15" s="211">
        <v>76.7714285714286</v>
      </c>
      <c r="GM15" s="177">
        <v>25</v>
      </c>
      <c r="GN15" s="177">
        <v>8</v>
      </c>
      <c r="GO15" s="177">
        <v>33</v>
      </c>
      <c r="GP15" s="177">
        <v>42</v>
      </c>
      <c r="GQ15" s="177">
        <v>11</v>
      </c>
      <c r="GR15" s="178">
        <v>11</v>
      </c>
      <c r="GS15" s="181">
        <v>10</v>
      </c>
      <c r="GT15" s="181">
        <v>1</v>
      </c>
      <c r="GU15" s="182">
        <v>0.25</v>
      </c>
      <c r="GV15" s="181">
        <v>0</v>
      </c>
      <c r="GW15" s="180">
        <v>0</v>
      </c>
      <c r="GX15" s="181">
        <v>11</v>
      </c>
      <c r="GY15" s="182">
        <v>0.020952380952381</v>
      </c>
      <c r="GZ15" s="183">
        <v>38</v>
      </c>
    </row>
    <row r="16" s="101" customFormat="1" ht="39" customHeight="1" spans="1:208">
      <c r="A16" s="190">
        <v>12</v>
      </c>
      <c r="B16" s="50" t="s">
        <v>31</v>
      </c>
      <c r="C16" s="191">
        <f t="shared" si="1"/>
        <v>101387.76</v>
      </c>
      <c r="D16" s="191">
        <f t="shared" si="2"/>
        <v>218048.59</v>
      </c>
      <c r="E16" s="191">
        <f t="shared" si="3"/>
        <v>309917.65</v>
      </c>
      <c r="F16" s="191">
        <f t="shared" si="4"/>
        <v>494</v>
      </c>
      <c r="G16" s="191">
        <f t="shared" si="5"/>
        <v>707</v>
      </c>
      <c r="H16" s="191">
        <f t="shared" si="6"/>
        <v>2655</v>
      </c>
      <c r="I16" s="191">
        <f t="shared" si="7"/>
        <v>791</v>
      </c>
      <c r="J16" s="191">
        <f t="shared" si="8"/>
        <v>1390</v>
      </c>
      <c r="K16" s="191">
        <f t="shared" si="9"/>
        <v>554</v>
      </c>
      <c r="L16" s="191">
        <f t="shared" si="10"/>
        <v>2123</v>
      </c>
      <c r="M16" s="191">
        <f t="shared" si="11"/>
        <v>410</v>
      </c>
      <c r="N16" s="191">
        <f t="shared" si="12"/>
        <v>2120</v>
      </c>
      <c r="O16" s="192">
        <f t="shared" si="13"/>
        <v>146.187570754717</v>
      </c>
      <c r="P16" s="191">
        <f t="shared" si="14"/>
        <v>116</v>
      </c>
      <c r="Q16" s="191">
        <f t="shared" si="15"/>
        <v>105</v>
      </c>
      <c r="R16" s="193">
        <f t="shared" si="16"/>
        <v>221</v>
      </c>
      <c r="S16" s="193">
        <v>20</v>
      </c>
      <c r="T16" s="193">
        <v>2</v>
      </c>
      <c r="U16" s="194">
        <f t="shared" si="17"/>
        <v>44</v>
      </c>
      <c r="V16" s="191">
        <f t="shared" si="18"/>
        <v>25</v>
      </c>
      <c r="W16" s="191">
        <f t="shared" si="19"/>
        <v>19</v>
      </c>
      <c r="X16" s="195">
        <v>0.1</v>
      </c>
      <c r="Y16" s="191">
        <f t="shared" si="20"/>
        <v>3</v>
      </c>
      <c r="Z16" s="196">
        <f t="shared" si="21"/>
        <v>0.147</v>
      </c>
      <c r="AA16" s="197">
        <f t="shared" si="22"/>
        <v>41</v>
      </c>
      <c r="AB16" s="198">
        <f t="shared" si="23"/>
        <v>0.0193396226415094</v>
      </c>
      <c r="AC16" s="199">
        <v>572</v>
      </c>
      <c r="AD16" s="185">
        <v>20079</v>
      </c>
      <c r="AE16" s="171">
        <v>40463.31</v>
      </c>
      <c r="AF16" s="172">
        <v>60542.31</v>
      </c>
      <c r="AG16" s="171">
        <v>74</v>
      </c>
      <c r="AH16" s="171">
        <v>59</v>
      </c>
      <c r="AI16" s="172">
        <v>319</v>
      </c>
      <c r="AJ16" s="171">
        <v>126</v>
      </c>
      <c r="AK16" s="171">
        <v>168</v>
      </c>
      <c r="AL16" s="171">
        <v>25</v>
      </c>
      <c r="AM16" s="171">
        <v>341</v>
      </c>
      <c r="AN16" s="171">
        <v>50</v>
      </c>
      <c r="AO16" s="171">
        <v>269</v>
      </c>
      <c r="AP16" s="173">
        <v>225.064349442379</v>
      </c>
      <c r="AQ16" s="171">
        <v>34</v>
      </c>
      <c r="AR16" s="171">
        <v>20</v>
      </c>
      <c r="AS16" s="171">
        <v>54</v>
      </c>
      <c r="AT16" s="171">
        <v>11</v>
      </c>
      <c r="AU16" s="171">
        <v>6</v>
      </c>
      <c r="AV16" s="171">
        <v>5</v>
      </c>
      <c r="AW16" s="174">
        <v>0.26</v>
      </c>
      <c r="AX16" s="171">
        <v>0</v>
      </c>
      <c r="AY16" s="174">
        <v>0</v>
      </c>
      <c r="AZ16" s="171">
        <v>11</v>
      </c>
      <c r="BA16" s="174">
        <v>0.0408921933085502</v>
      </c>
      <c r="BB16" s="171">
        <v>145</v>
      </c>
      <c r="BC16" s="185">
        <v>11168.45</v>
      </c>
      <c r="BD16" s="171">
        <v>27113.98</v>
      </c>
      <c r="BE16" s="172">
        <v>38282.43</v>
      </c>
      <c r="BF16" s="171">
        <v>56</v>
      </c>
      <c r="BG16" s="171">
        <v>54</v>
      </c>
      <c r="BH16" s="172">
        <v>282</v>
      </c>
      <c r="BI16" s="171">
        <v>61</v>
      </c>
      <c r="BJ16" s="171">
        <v>210</v>
      </c>
      <c r="BK16" s="171">
        <v>11</v>
      </c>
      <c r="BL16" s="171">
        <v>319</v>
      </c>
      <c r="BM16" s="171">
        <v>35</v>
      </c>
      <c r="BN16" s="171">
        <v>247</v>
      </c>
      <c r="BO16" s="173">
        <v>154.9895951417</v>
      </c>
      <c r="BP16" s="171">
        <v>7</v>
      </c>
      <c r="BQ16" s="171">
        <v>4</v>
      </c>
      <c r="BR16" s="171">
        <v>11</v>
      </c>
      <c r="BS16" s="171">
        <v>4</v>
      </c>
      <c r="BT16" s="171">
        <v>3</v>
      </c>
      <c r="BU16" s="171">
        <v>1</v>
      </c>
      <c r="BV16" s="174">
        <v>0.25</v>
      </c>
      <c r="BW16" s="171">
        <v>0</v>
      </c>
      <c r="BX16" s="174">
        <v>0</v>
      </c>
      <c r="BY16" s="171">
        <v>4</v>
      </c>
      <c r="BZ16" s="174">
        <v>0.0161943319838057</v>
      </c>
      <c r="CA16" s="171">
        <v>350</v>
      </c>
      <c r="CB16" s="185">
        <v>14593.79</v>
      </c>
      <c r="CC16" s="171">
        <v>30106.91</v>
      </c>
      <c r="CD16" s="172">
        <v>35182</v>
      </c>
      <c r="CE16" s="171">
        <v>66</v>
      </c>
      <c r="CF16" s="171">
        <v>110</v>
      </c>
      <c r="CG16" s="172">
        <v>338</v>
      </c>
      <c r="CH16" s="171">
        <v>154</v>
      </c>
      <c r="CI16" s="171">
        <v>240</v>
      </c>
      <c r="CJ16" s="171">
        <v>24</v>
      </c>
      <c r="CK16" s="171">
        <v>220</v>
      </c>
      <c r="CL16" s="171">
        <v>30</v>
      </c>
      <c r="CM16" s="171">
        <v>245</v>
      </c>
      <c r="CN16" s="173">
        <v>143.6</v>
      </c>
      <c r="CO16" s="171">
        <v>22</v>
      </c>
      <c r="CP16" s="171">
        <v>17</v>
      </c>
      <c r="CQ16" s="171">
        <v>39</v>
      </c>
      <c r="CR16" s="171">
        <v>13</v>
      </c>
      <c r="CS16" s="171">
        <v>8</v>
      </c>
      <c r="CT16" s="171">
        <v>5</v>
      </c>
      <c r="CU16" s="174">
        <v>0.13</v>
      </c>
      <c r="CV16" s="171">
        <v>2</v>
      </c>
      <c r="CW16" s="174">
        <v>0.105</v>
      </c>
      <c r="CX16" s="171">
        <v>11</v>
      </c>
      <c r="CY16" s="174">
        <v>0.0448979591836735</v>
      </c>
      <c r="CZ16" s="171">
        <v>512</v>
      </c>
      <c r="DA16" s="185">
        <v>28210.01</v>
      </c>
      <c r="DB16" s="171">
        <v>56684.65</v>
      </c>
      <c r="DC16" s="172">
        <v>84894.66</v>
      </c>
      <c r="DD16" s="171">
        <v>111</v>
      </c>
      <c r="DE16" s="171">
        <v>136</v>
      </c>
      <c r="DF16" s="172">
        <v>365</v>
      </c>
      <c r="DG16" s="171">
        <v>124</v>
      </c>
      <c r="DH16" s="171">
        <v>188</v>
      </c>
      <c r="DI16" s="171">
        <v>53</v>
      </c>
      <c r="DJ16" s="171">
        <v>646</v>
      </c>
      <c r="DK16" s="171">
        <v>51</v>
      </c>
      <c r="DL16" s="171">
        <v>626</v>
      </c>
      <c r="DM16" s="173">
        <v>135.61447284345</v>
      </c>
      <c r="DN16" s="171">
        <v>22</v>
      </c>
      <c r="DO16" s="171">
        <v>20</v>
      </c>
      <c r="DP16" s="171">
        <v>42</v>
      </c>
      <c r="DQ16" s="171">
        <v>5</v>
      </c>
      <c r="DR16" s="171">
        <v>3</v>
      </c>
      <c r="DS16" s="171">
        <v>2</v>
      </c>
      <c r="DT16" s="174">
        <v>0.062</v>
      </c>
      <c r="DU16" s="171">
        <v>0</v>
      </c>
      <c r="DV16" s="174">
        <v>0</v>
      </c>
      <c r="DW16" s="171">
        <v>5</v>
      </c>
      <c r="DX16" s="174">
        <v>0.00798722044728434</v>
      </c>
      <c r="DY16" s="171">
        <v>368</v>
      </c>
      <c r="DZ16" s="185">
        <v>12641.27</v>
      </c>
      <c r="EA16" s="171">
        <v>26787.28</v>
      </c>
      <c r="EB16" s="185">
        <v>39428.55</v>
      </c>
      <c r="EC16" s="171">
        <v>89</v>
      </c>
      <c r="ED16" s="171">
        <v>118</v>
      </c>
      <c r="EE16" s="172">
        <v>569</v>
      </c>
      <c r="EF16" s="171">
        <v>128</v>
      </c>
      <c r="EG16" s="171">
        <v>280</v>
      </c>
      <c r="EH16" s="171">
        <v>161</v>
      </c>
      <c r="EI16" s="171">
        <v>290</v>
      </c>
      <c r="EJ16" s="171">
        <v>110</v>
      </c>
      <c r="EK16" s="171">
        <v>335</v>
      </c>
      <c r="EL16" s="173">
        <v>117.697164179104</v>
      </c>
      <c r="EM16" s="171">
        <v>13</v>
      </c>
      <c r="EN16" s="171">
        <v>14</v>
      </c>
      <c r="EO16" s="171">
        <v>27</v>
      </c>
      <c r="EP16" s="171">
        <v>5</v>
      </c>
      <c r="EQ16" s="171">
        <v>3</v>
      </c>
      <c r="ER16" s="171">
        <v>2</v>
      </c>
      <c r="ES16" s="174">
        <v>0.0884</v>
      </c>
      <c r="ET16" s="171">
        <v>0</v>
      </c>
      <c r="EU16" s="174">
        <v>0</v>
      </c>
      <c r="EV16" s="171">
        <v>5</v>
      </c>
      <c r="EW16" s="174">
        <v>0.0149253731343284</v>
      </c>
      <c r="EX16" s="171">
        <v>433</v>
      </c>
      <c r="EY16" s="177">
        <v>10195.2</v>
      </c>
      <c r="EZ16" s="177">
        <v>29323.8</v>
      </c>
      <c r="FA16" s="177">
        <v>39519</v>
      </c>
      <c r="FB16" s="177">
        <v>71</v>
      </c>
      <c r="FC16" s="177">
        <v>187</v>
      </c>
      <c r="FD16" s="177">
        <v>555</v>
      </c>
      <c r="FE16" s="177">
        <v>169</v>
      </c>
      <c r="FF16" s="177">
        <v>235</v>
      </c>
      <c r="FG16" s="177">
        <v>151</v>
      </c>
      <c r="FH16" s="177">
        <v>216</v>
      </c>
      <c r="FI16" s="177">
        <v>96</v>
      </c>
      <c r="FJ16" s="177">
        <v>309</v>
      </c>
      <c r="FK16" s="176">
        <v>127.893203883495</v>
      </c>
      <c r="FL16" s="177">
        <v>17</v>
      </c>
      <c r="FM16" s="177">
        <v>25</v>
      </c>
      <c r="FN16" s="177">
        <v>42</v>
      </c>
      <c r="FO16" s="177">
        <v>48</v>
      </c>
      <c r="FP16" s="177">
        <v>5</v>
      </c>
      <c r="FQ16" s="178">
        <v>4</v>
      </c>
      <c r="FR16" s="177">
        <v>2</v>
      </c>
      <c r="FS16" s="177">
        <v>2</v>
      </c>
      <c r="FT16" s="182">
        <v>0.096</v>
      </c>
      <c r="FU16" s="177">
        <v>0</v>
      </c>
      <c r="FV16" s="182">
        <v>0</v>
      </c>
      <c r="FW16" s="177">
        <v>4</v>
      </c>
      <c r="FX16" s="182">
        <v>0.0129449838187702</v>
      </c>
      <c r="FY16" s="200">
        <v>439</v>
      </c>
      <c r="FZ16" s="177">
        <v>4500.04</v>
      </c>
      <c r="GA16" s="177">
        <v>7568.66</v>
      </c>
      <c r="GB16" s="177">
        <v>12068.7</v>
      </c>
      <c r="GC16" s="177">
        <v>27</v>
      </c>
      <c r="GD16" s="177">
        <v>43</v>
      </c>
      <c r="GE16" s="177">
        <v>227</v>
      </c>
      <c r="GF16" s="177">
        <v>29</v>
      </c>
      <c r="GG16" s="177">
        <v>69</v>
      </c>
      <c r="GH16" s="177">
        <v>129</v>
      </c>
      <c r="GI16" s="177">
        <v>91</v>
      </c>
      <c r="GJ16" s="177">
        <v>38</v>
      </c>
      <c r="GK16" s="177">
        <v>89</v>
      </c>
      <c r="GL16" s="176">
        <v>135.603370786517</v>
      </c>
      <c r="GM16" s="177">
        <v>1</v>
      </c>
      <c r="GN16" s="177">
        <v>5</v>
      </c>
      <c r="GO16" s="177">
        <v>6</v>
      </c>
      <c r="GP16" s="177">
        <v>20</v>
      </c>
      <c r="GQ16" s="177">
        <v>2</v>
      </c>
      <c r="GR16" s="178">
        <v>2</v>
      </c>
      <c r="GS16" s="177">
        <v>0</v>
      </c>
      <c r="GT16" s="177">
        <v>2</v>
      </c>
      <c r="GU16" s="182">
        <v>0.1</v>
      </c>
      <c r="GV16" s="177">
        <v>1</v>
      </c>
      <c r="GW16" s="182">
        <v>0.042</v>
      </c>
      <c r="GX16" s="177">
        <v>1</v>
      </c>
      <c r="GY16" s="182">
        <v>0.0112359550561798</v>
      </c>
      <c r="GZ16" s="200">
        <v>572</v>
      </c>
    </row>
    <row r="17" s="102" customFormat="1" ht="39" customHeight="1" spans="1:208">
      <c r="A17" s="201">
        <v>13</v>
      </c>
      <c r="B17" s="202" t="s">
        <v>32</v>
      </c>
      <c r="C17" s="203">
        <f t="shared" si="1"/>
        <v>105830.25</v>
      </c>
      <c r="D17" s="203">
        <f t="shared" si="2"/>
        <v>99526.22</v>
      </c>
      <c r="E17" s="203">
        <f t="shared" si="3"/>
        <v>205356.47</v>
      </c>
      <c r="F17" s="203">
        <f t="shared" si="4"/>
        <v>313</v>
      </c>
      <c r="G17" s="203">
        <f t="shared" si="5"/>
        <v>790</v>
      </c>
      <c r="H17" s="203">
        <f t="shared" si="6"/>
        <v>3253</v>
      </c>
      <c r="I17" s="203">
        <f t="shared" si="7"/>
        <v>1876</v>
      </c>
      <c r="J17" s="203">
        <f t="shared" si="8"/>
        <v>1227</v>
      </c>
      <c r="K17" s="203">
        <f t="shared" si="9"/>
        <v>150</v>
      </c>
      <c r="L17" s="203">
        <f t="shared" si="10"/>
        <v>3006</v>
      </c>
      <c r="M17" s="203">
        <f t="shared" si="11"/>
        <v>106</v>
      </c>
      <c r="N17" s="203">
        <f t="shared" si="12"/>
        <v>3106</v>
      </c>
      <c r="O17" s="204">
        <f t="shared" si="13"/>
        <v>66.1160560206053</v>
      </c>
      <c r="P17" s="203">
        <f t="shared" si="14"/>
        <v>62</v>
      </c>
      <c r="Q17" s="203">
        <f t="shared" si="15"/>
        <v>10</v>
      </c>
      <c r="R17" s="205">
        <f t="shared" si="16"/>
        <v>72</v>
      </c>
      <c r="S17" s="205">
        <v>1</v>
      </c>
      <c r="T17" s="205">
        <v>7</v>
      </c>
      <c r="U17" s="206">
        <f t="shared" si="17"/>
        <v>28</v>
      </c>
      <c r="V17" s="203">
        <f t="shared" si="18"/>
        <v>28</v>
      </c>
      <c r="W17" s="203">
        <f t="shared" si="19"/>
        <v>0</v>
      </c>
      <c r="X17" s="207">
        <v>0.1</v>
      </c>
      <c r="Y17" s="203">
        <f t="shared" si="20"/>
        <v>0</v>
      </c>
      <c r="Z17" s="208">
        <f t="shared" si="21"/>
        <v>0</v>
      </c>
      <c r="AA17" s="209">
        <f t="shared" si="22"/>
        <v>28</v>
      </c>
      <c r="AB17" s="210">
        <f t="shared" si="23"/>
        <v>0.00901481004507405</v>
      </c>
      <c r="AC17" s="170"/>
      <c r="AD17" s="185">
        <v>24033.65</v>
      </c>
      <c r="AE17" s="171">
        <v>10081.54</v>
      </c>
      <c r="AF17" s="172">
        <v>34115.19</v>
      </c>
      <c r="AG17" s="171">
        <v>52</v>
      </c>
      <c r="AH17" s="171">
        <v>143</v>
      </c>
      <c r="AI17" s="172">
        <v>539</v>
      </c>
      <c r="AJ17" s="171">
        <v>402</v>
      </c>
      <c r="AK17" s="171">
        <v>100</v>
      </c>
      <c r="AL17" s="171">
        <v>37</v>
      </c>
      <c r="AM17" s="171">
        <v>491</v>
      </c>
      <c r="AN17" s="171">
        <v>0</v>
      </c>
      <c r="AO17" s="171">
        <v>511</v>
      </c>
      <c r="AP17" s="173">
        <v>66.7616242661448</v>
      </c>
      <c r="AQ17" s="171">
        <v>1</v>
      </c>
      <c r="AR17" s="171">
        <v>0</v>
      </c>
      <c r="AS17" s="171">
        <v>1</v>
      </c>
      <c r="AT17" s="171">
        <v>4</v>
      </c>
      <c r="AU17" s="171">
        <v>4</v>
      </c>
      <c r="AV17" s="171">
        <v>0</v>
      </c>
      <c r="AW17" s="174">
        <v>0.22</v>
      </c>
      <c r="AX17" s="171">
        <v>0</v>
      </c>
      <c r="AY17" s="174">
        <v>0</v>
      </c>
      <c r="AZ17" s="171">
        <v>4</v>
      </c>
      <c r="BA17" s="174">
        <v>0.00782778864970646</v>
      </c>
      <c r="BB17" s="171">
        <v>517</v>
      </c>
      <c r="BC17" s="185">
        <v>8015.6</v>
      </c>
      <c r="BD17" s="171">
        <v>7805.88</v>
      </c>
      <c r="BE17" s="172">
        <v>15821.48</v>
      </c>
      <c r="BF17" s="171">
        <v>46</v>
      </c>
      <c r="BG17" s="171">
        <v>112</v>
      </c>
      <c r="BH17" s="172">
        <v>525</v>
      </c>
      <c r="BI17" s="171">
        <v>411</v>
      </c>
      <c r="BJ17" s="171">
        <v>100</v>
      </c>
      <c r="BK17" s="171">
        <v>14</v>
      </c>
      <c r="BL17" s="171">
        <v>520</v>
      </c>
      <c r="BM17" s="171">
        <v>20</v>
      </c>
      <c r="BN17" s="171">
        <v>505</v>
      </c>
      <c r="BO17" s="173">
        <v>31.3296633663366</v>
      </c>
      <c r="BP17" s="171">
        <v>4</v>
      </c>
      <c r="BQ17" s="171">
        <v>0</v>
      </c>
      <c r="BR17" s="171">
        <v>4</v>
      </c>
      <c r="BS17" s="171">
        <v>2</v>
      </c>
      <c r="BT17" s="171">
        <v>2</v>
      </c>
      <c r="BU17" s="171">
        <v>0</v>
      </c>
      <c r="BV17" s="174">
        <v>0.18</v>
      </c>
      <c r="BW17" s="171">
        <v>0</v>
      </c>
      <c r="BX17" s="174">
        <v>0</v>
      </c>
      <c r="BY17" s="171">
        <v>2</v>
      </c>
      <c r="BZ17" s="174">
        <v>0.00396039603960396</v>
      </c>
      <c r="CA17" s="171">
        <v>576</v>
      </c>
      <c r="CB17" s="185">
        <v>19993.07</v>
      </c>
      <c r="CC17" s="171">
        <v>7182.71</v>
      </c>
      <c r="CD17" s="172">
        <v>27175.78</v>
      </c>
      <c r="CE17" s="171">
        <v>44</v>
      </c>
      <c r="CF17" s="171">
        <v>163</v>
      </c>
      <c r="CG17" s="172">
        <v>331</v>
      </c>
      <c r="CH17" s="171">
        <v>194</v>
      </c>
      <c r="CI17" s="171">
        <v>126</v>
      </c>
      <c r="CJ17" s="171">
        <v>11</v>
      </c>
      <c r="CK17" s="171">
        <v>321</v>
      </c>
      <c r="CL17" s="171">
        <v>2</v>
      </c>
      <c r="CM17" s="171">
        <v>318</v>
      </c>
      <c r="CN17" s="173">
        <v>85.458427672956</v>
      </c>
      <c r="CO17" s="171">
        <v>11</v>
      </c>
      <c r="CP17" s="171">
        <v>0</v>
      </c>
      <c r="CQ17" s="171">
        <v>11</v>
      </c>
      <c r="CR17" s="171">
        <v>4</v>
      </c>
      <c r="CS17" s="171">
        <v>4</v>
      </c>
      <c r="CT17" s="171">
        <v>0</v>
      </c>
      <c r="CU17" s="174">
        <v>0.29</v>
      </c>
      <c r="CV17" s="171">
        <v>0</v>
      </c>
      <c r="CW17" s="174">
        <v>0</v>
      </c>
      <c r="CX17" s="171">
        <v>4</v>
      </c>
      <c r="CY17" s="174">
        <v>0.0125786163522013</v>
      </c>
      <c r="CZ17" s="171">
        <v>443</v>
      </c>
      <c r="DA17" s="185">
        <v>21578.63</v>
      </c>
      <c r="DB17" s="171">
        <v>16414.82</v>
      </c>
      <c r="DC17" s="172">
        <v>37993.45</v>
      </c>
      <c r="DD17" s="171">
        <v>58</v>
      </c>
      <c r="DE17" s="171">
        <v>96</v>
      </c>
      <c r="DF17" s="172">
        <v>719</v>
      </c>
      <c r="DG17" s="171">
        <v>560</v>
      </c>
      <c r="DH17" s="171">
        <v>149</v>
      </c>
      <c r="DI17" s="171">
        <v>10</v>
      </c>
      <c r="DJ17" s="171">
        <v>713</v>
      </c>
      <c r="DK17" s="171">
        <v>4</v>
      </c>
      <c r="DL17" s="171">
        <v>713</v>
      </c>
      <c r="DM17" s="173">
        <v>53.2867461430575</v>
      </c>
      <c r="DN17" s="171">
        <v>23</v>
      </c>
      <c r="DO17" s="171">
        <v>2</v>
      </c>
      <c r="DP17" s="171">
        <v>25</v>
      </c>
      <c r="DQ17" s="171">
        <v>11</v>
      </c>
      <c r="DR17" s="171">
        <v>11</v>
      </c>
      <c r="DS17" s="171">
        <v>0</v>
      </c>
      <c r="DT17" s="174">
        <v>0.15</v>
      </c>
      <c r="DU17" s="171">
        <v>0</v>
      </c>
      <c r="DV17" s="174">
        <v>0</v>
      </c>
      <c r="DW17" s="171">
        <v>11</v>
      </c>
      <c r="DX17" s="174">
        <v>0.0154277699859748</v>
      </c>
      <c r="DY17" s="171">
        <v>373</v>
      </c>
      <c r="DZ17" s="185">
        <v>21349.52</v>
      </c>
      <c r="EA17" s="171">
        <v>10192.07</v>
      </c>
      <c r="EB17" s="172">
        <v>31541.59</v>
      </c>
      <c r="EC17" s="171">
        <v>52</v>
      </c>
      <c r="ED17" s="171">
        <v>142</v>
      </c>
      <c r="EE17" s="172">
        <v>431</v>
      </c>
      <c r="EF17" s="171">
        <v>222</v>
      </c>
      <c r="EG17" s="171">
        <v>178</v>
      </c>
      <c r="EH17" s="171">
        <v>31</v>
      </c>
      <c r="EI17" s="171">
        <v>423</v>
      </c>
      <c r="EJ17" s="171">
        <v>18</v>
      </c>
      <c r="EK17" s="171">
        <v>410</v>
      </c>
      <c r="EL17" s="173">
        <v>76.9307073170732</v>
      </c>
      <c r="EM17" s="171">
        <v>16</v>
      </c>
      <c r="EN17" s="171">
        <v>3</v>
      </c>
      <c r="EO17" s="171">
        <v>19</v>
      </c>
      <c r="EP17" s="171">
        <v>4</v>
      </c>
      <c r="EQ17" s="171">
        <v>4</v>
      </c>
      <c r="ER17" s="171">
        <v>0</v>
      </c>
      <c r="ES17" s="174">
        <v>0.27</v>
      </c>
      <c r="ET17" s="171">
        <v>0</v>
      </c>
      <c r="EU17" s="174">
        <v>0</v>
      </c>
      <c r="EV17" s="171">
        <v>4</v>
      </c>
      <c r="EW17" s="174">
        <v>0.00975609756097561</v>
      </c>
      <c r="EX17" s="171">
        <v>416</v>
      </c>
      <c r="EY17" s="177">
        <v>8264.17</v>
      </c>
      <c r="EZ17" s="177">
        <v>31735.8</v>
      </c>
      <c r="FA17" s="177">
        <v>39999.97</v>
      </c>
      <c r="FB17" s="177">
        <v>42</v>
      </c>
      <c r="FC17" s="177">
        <v>103</v>
      </c>
      <c r="FD17" s="177">
        <v>533</v>
      </c>
      <c r="FE17" s="177">
        <v>59</v>
      </c>
      <c r="FF17" s="177">
        <v>429</v>
      </c>
      <c r="FG17" s="177">
        <v>45</v>
      </c>
      <c r="FH17" s="177">
        <v>413</v>
      </c>
      <c r="FI17" s="177">
        <v>48</v>
      </c>
      <c r="FJ17" s="177">
        <v>485</v>
      </c>
      <c r="FK17" s="211">
        <v>82.4741649484536</v>
      </c>
      <c r="FL17" s="177">
        <v>5</v>
      </c>
      <c r="FM17" s="177">
        <v>4</v>
      </c>
      <c r="FN17" s="177">
        <v>9</v>
      </c>
      <c r="FO17" s="177">
        <v>14</v>
      </c>
      <c r="FP17" s="177">
        <v>3</v>
      </c>
      <c r="FQ17" s="178">
        <v>2</v>
      </c>
      <c r="FR17" s="181">
        <v>2</v>
      </c>
      <c r="FS17" s="181">
        <v>0</v>
      </c>
      <c r="FT17" s="182">
        <v>0.143</v>
      </c>
      <c r="FU17" s="181">
        <v>0</v>
      </c>
      <c r="FV17" s="180">
        <v>0</v>
      </c>
      <c r="FW17" s="181">
        <v>2</v>
      </c>
      <c r="FX17" s="182">
        <v>0.00412371134020619</v>
      </c>
      <c r="FY17" s="183">
        <v>416</v>
      </c>
      <c r="FZ17" s="177">
        <v>2595.61</v>
      </c>
      <c r="GA17" s="177">
        <v>16113.4</v>
      </c>
      <c r="GB17" s="177">
        <v>18709.01</v>
      </c>
      <c r="GC17" s="177">
        <v>19</v>
      </c>
      <c r="GD17" s="177">
        <v>31</v>
      </c>
      <c r="GE17" s="177">
        <v>175</v>
      </c>
      <c r="GF17" s="177">
        <v>28</v>
      </c>
      <c r="GG17" s="177">
        <v>145</v>
      </c>
      <c r="GH17" s="177">
        <v>2</v>
      </c>
      <c r="GI17" s="177">
        <v>125</v>
      </c>
      <c r="GJ17" s="177">
        <v>14</v>
      </c>
      <c r="GK17" s="177">
        <v>164</v>
      </c>
      <c r="GL17" s="211">
        <v>114.079329268293</v>
      </c>
      <c r="GM17" s="177">
        <v>2</v>
      </c>
      <c r="GN17" s="177">
        <v>1</v>
      </c>
      <c r="GO17" s="177">
        <v>3</v>
      </c>
      <c r="GP17" s="177">
        <v>1</v>
      </c>
      <c r="GQ17" s="177">
        <v>7</v>
      </c>
      <c r="GR17" s="178">
        <v>1</v>
      </c>
      <c r="GS17" s="181">
        <v>1</v>
      </c>
      <c r="GT17" s="181">
        <v>0</v>
      </c>
      <c r="GU17" s="182">
        <v>0.1</v>
      </c>
      <c r="GV17" s="181">
        <v>0</v>
      </c>
      <c r="GW17" s="180">
        <v>0</v>
      </c>
      <c r="GX17" s="181">
        <v>1</v>
      </c>
      <c r="GY17" s="182">
        <v>0.00609756097560976</v>
      </c>
      <c r="GZ17" s="183"/>
    </row>
    <row r="18" s="101" customFormat="1" ht="39" customHeight="1" spans="1:208">
      <c r="A18" s="190">
        <v>14</v>
      </c>
      <c r="B18" s="50" t="s">
        <v>33</v>
      </c>
      <c r="C18" s="191">
        <f t="shared" si="1"/>
        <v>74553.97</v>
      </c>
      <c r="D18" s="191">
        <f t="shared" si="2"/>
        <v>85130.45</v>
      </c>
      <c r="E18" s="191">
        <f t="shared" si="3"/>
        <v>159684.42</v>
      </c>
      <c r="F18" s="191">
        <f t="shared" si="4"/>
        <v>446</v>
      </c>
      <c r="G18" s="191">
        <f t="shared" si="5"/>
        <v>711</v>
      </c>
      <c r="H18" s="191">
        <f t="shared" si="6"/>
        <v>1998</v>
      </c>
      <c r="I18" s="191">
        <f t="shared" si="7"/>
        <v>659</v>
      </c>
      <c r="J18" s="191">
        <f t="shared" si="8"/>
        <v>891</v>
      </c>
      <c r="K18" s="191">
        <f t="shared" si="9"/>
        <v>469</v>
      </c>
      <c r="L18" s="191">
        <f t="shared" si="10"/>
        <v>1356</v>
      </c>
      <c r="M18" s="191">
        <f t="shared" si="11"/>
        <v>212</v>
      </c>
      <c r="N18" s="191">
        <f t="shared" si="12"/>
        <v>1405</v>
      </c>
      <c r="O18" s="192">
        <f t="shared" si="13"/>
        <v>113.654391459075</v>
      </c>
      <c r="P18" s="191">
        <f t="shared" si="14"/>
        <v>66</v>
      </c>
      <c r="Q18" s="191">
        <f t="shared" si="15"/>
        <v>62</v>
      </c>
      <c r="R18" s="193">
        <f t="shared" si="16"/>
        <v>128</v>
      </c>
      <c r="S18" s="193">
        <v>15</v>
      </c>
      <c r="T18" s="193">
        <v>0</v>
      </c>
      <c r="U18" s="194">
        <f t="shared" si="17"/>
        <v>28</v>
      </c>
      <c r="V18" s="191">
        <f t="shared" si="18"/>
        <v>12</v>
      </c>
      <c r="W18" s="191">
        <f t="shared" si="19"/>
        <v>16</v>
      </c>
      <c r="X18" s="195">
        <v>0</v>
      </c>
      <c r="Y18" s="191">
        <f t="shared" si="20"/>
        <v>0</v>
      </c>
      <c r="Z18" s="196">
        <f t="shared" si="21"/>
        <v>0</v>
      </c>
      <c r="AA18" s="197">
        <f t="shared" si="22"/>
        <v>28</v>
      </c>
      <c r="AB18" s="198">
        <f t="shared" si="23"/>
        <v>0.0199288256227758</v>
      </c>
      <c r="AC18" s="199">
        <v>592</v>
      </c>
      <c r="AD18" s="185">
        <v>20491</v>
      </c>
      <c r="AE18" s="171">
        <v>15364</v>
      </c>
      <c r="AF18" s="172">
        <v>35855</v>
      </c>
      <c r="AG18" s="171">
        <v>76</v>
      </c>
      <c r="AH18" s="171">
        <v>72</v>
      </c>
      <c r="AI18" s="172">
        <v>260</v>
      </c>
      <c r="AJ18" s="171">
        <v>109</v>
      </c>
      <c r="AK18" s="171">
        <v>130</v>
      </c>
      <c r="AL18" s="171">
        <v>21</v>
      </c>
      <c r="AM18" s="171">
        <v>225</v>
      </c>
      <c r="AN18" s="171">
        <v>25</v>
      </c>
      <c r="AO18" s="171">
        <v>233</v>
      </c>
      <c r="AP18" s="173">
        <v>153.884120171674</v>
      </c>
      <c r="AQ18" s="171">
        <v>11</v>
      </c>
      <c r="AR18" s="171">
        <v>11</v>
      </c>
      <c r="AS18" s="171">
        <v>22</v>
      </c>
      <c r="AT18" s="171">
        <v>6</v>
      </c>
      <c r="AU18" s="171">
        <v>2</v>
      </c>
      <c r="AV18" s="171">
        <v>4</v>
      </c>
      <c r="AW18" s="174">
        <v>0.1</v>
      </c>
      <c r="AX18" s="171">
        <v>0</v>
      </c>
      <c r="AY18" s="174">
        <v>0</v>
      </c>
      <c r="AZ18" s="171">
        <v>6</v>
      </c>
      <c r="BA18" s="174">
        <v>0.0257510729613734</v>
      </c>
      <c r="BB18" s="171">
        <v>402</v>
      </c>
      <c r="BC18" s="185">
        <v>7473.12</v>
      </c>
      <c r="BD18" s="171">
        <v>12064.23</v>
      </c>
      <c r="BE18" s="172">
        <v>19537.35</v>
      </c>
      <c r="BF18" s="171">
        <v>61</v>
      </c>
      <c r="BG18" s="171">
        <v>83</v>
      </c>
      <c r="BH18" s="172">
        <v>212</v>
      </c>
      <c r="BI18" s="171">
        <v>67</v>
      </c>
      <c r="BJ18" s="171">
        <v>141</v>
      </c>
      <c r="BK18" s="171">
        <v>4</v>
      </c>
      <c r="BL18" s="171">
        <v>207</v>
      </c>
      <c r="BM18" s="171">
        <v>16</v>
      </c>
      <c r="BN18" s="171">
        <v>186</v>
      </c>
      <c r="BO18" s="173">
        <v>105.039516129032</v>
      </c>
      <c r="BP18" s="171">
        <v>3</v>
      </c>
      <c r="BQ18" s="171">
        <v>3</v>
      </c>
      <c r="BR18" s="171">
        <v>6</v>
      </c>
      <c r="BS18" s="171">
        <v>3</v>
      </c>
      <c r="BT18" s="171">
        <v>1</v>
      </c>
      <c r="BU18" s="171">
        <v>2</v>
      </c>
      <c r="BV18" s="174"/>
      <c r="BW18" s="171">
        <v>0</v>
      </c>
      <c r="BX18" s="174">
        <v>0</v>
      </c>
      <c r="BY18" s="171">
        <v>3</v>
      </c>
      <c r="BZ18" s="174">
        <v>0.0161290322580645</v>
      </c>
      <c r="CA18" s="171">
        <v>402</v>
      </c>
      <c r="CB18" s="185">
        <v>10552.45</v>
      </c>
      <c r="CC18" s="171">
        <v>10803.34</v>
      </c>
      <c r="CD18" s="172">
        <v>21355.79</v>
      </c>
      <c r="CE18" s="171">
        <v>63</v>
      </c>
      <c r="CF18" s="171">
        <v>91</v>
      </c>
      <c r="CG18" s="172">
        <v>225</v>
      </c>
      <c r="CH18" s="171">
        <v>103</v>
      </c>
      <c r="CI18" s="171">
        <v>116</v>
      </c>
      <c r="CJ18" s="171">
        <v>5</v>
      </c>
      <c r="CK18" s="171">
        <v>179</v>
      </c>
      <c r="CL18" s="171">
        <v>7</v>
      </c>
      <c r="CM18" s="171">
        <v>205</v>
      </c>
      <c r="CN18" s="173">
        <v>104.174585365854</v>
      </c>
      <c r="CO18" s="171">
        <v>6</v>
      </c>
      <c r="CP18" s="171">
        <v>5</v>
      </c>
      <c r="CQ18" s="171">
        <v>11</v>
      </c>
      <c r="CR18" s="171">
        <v>5</v>
      </c>
      <c r="CS18" s="171">
        <v>3</v>
      </c>
      <c r="CT18" s="171">
        <v>2</v>
      </c>
      <c r="CU18" s="174">
        <v>0.11</v>
      </c>
      <c r="CV18" s="171">
        <v>0</v>
      </c>
      <c r="CW18" s="174">
        <v>0</v>
      </c>
      <c r="CX18" s="171">
        <v>5</v>
      </c>
      <c r="CY18" s="174">
        <v>0.024390243902439</v>
      </c>
      <c r="CZ18" s="171">
        <v>522</v>
      </c>
      <c r="DA18" s="185">
        <v>10922.67</v>
      </c>
      <c r="DB18" s="171">
        <v>15314.3</v>
      </c>
      <c r="DC18" s="172">
        <v>26236.97</v>
      </c>
      <c r="DD18" s="171">
        <v>69</v>
      </c>
      <c r="DE18" s="171">
        <v>103</v>
      </c>
      <c r="DF18" s="172">
        <v>220</v>
      </c>
      <c r="DG18" s="171">
        <v>134</v>
      </c>
      <c r="DH18" s="171">
        <v>54</v>
      </c>
      <c r="DI18" s="171">
        <v>32</v>
      </c>
      <c r="DJ18" s="171">
        <v>328</v>
      </c>
      <c r="DK18" s="171">
        <v>5</v>
      </c>
      <c r="DL18" s="171">
        <v>265</v>
      </c>
      <c r="DM18" s="173">
        <v>99.0074339622642</v>
      </c>
      <c r="DN18" s="171">
        <v>20</v>
      </c>
      <c r="DO18" s="171">
        <v>9</v>
      </c>
      <c r="DP18" s="171">
        <v>29</v>
      </c>
      <c r="DQ18" s="171">
        <v>3</v>
      </c>
      <c r="DR18" s="171">
        <v>2</v>
      </c>
      <c r="DS18" s="171">
        <v>1</v>
      </c>
      <c r="DT18" s="174">
        <v>0.067</v>
      </c>
      <c r="DU18" s="171">
        <v>0</v>
      </c>
      <c r="DV18" s="174">
        <v>0</v>
      </c>
      <c r="DW18" s="171">
        <v>3</v>
      </c>
      <c r="DX18" s="174">
        <v>0.0113207547169811</v>
      </c>
      <c r="DY18" s="171">
        <v>621</v>
      </c>
      <c r="DZ18" s="185">
        <v>9786.12</v>
      </c>
      <c r="EA18" s="171">
        <v>10608.42</v>
      </c>
      <c r="EB18" s="185">
        <v>20394.54</v>
      </c>
      <c r="EC18" s="171">
        <v>57</v>
      </c>
      <c r="ED18" s="171">
        <v>147</v>
      </c>
      <c r="EE18" s="172">
        <v>380</v>
      </c>
      <c r="EF18" s="171">
        <v>79</v>
      </c>
      <c r="EG18" s="171">
        <v>157</v>
      </c>
      <c r="EH18" s="171">
        <v>166</v>
      </c>
      <c r="EI18" s="171">
        <v>145</v>
      </c>
      <c r="EJ18" s="171">
        <v>75</v>
      </c>
      <c r="EK18" s="171">
        <v>173</v>
      </c>
      <c r="EL18" s="173">
        <v>117.887514450867</v>
      </c>
      <c r="EM18" s="171">
        <v>8</v>
      </c>
      <c r="EN18" s="171">
        <v>14</v>
      </c>
      <c r="EO18" s="171">
        <v>22</v>
      </c>
      <c r="EP18" s="171">
        <v>4</v>
      </c>
      <c r="EQ18" s="171">
        <v>2</v>
      </c>
      <c r="ER18" s="171">
        <v>2</v>
      </c>
      <c r="ES18" s="174">
        <v>0.0727</v>
      </c>
      <c r="ET18" s="171">
        <v>0</v>
      </c>
      <c r="EU18" s="174">
        <v>0</v>
      </c>
      <c r="EV18" s="171">
        <v>4</v>
      </c>
      <c r="EW18" s="174">
        <v>0.023121387283237</v>
      </c>
      <c r="EX18" s="171">
        <v>648</v>
      </c>
      <c r="EY18" s="177">
        <v>10326.23</v>
      </c>
      <c r="EZ18" s="177">
        <v>19776.16</v>
      </c>
      <c r="FA18" s="177">
        <v>30102.39</v>
      </c>
      <c r="FB18" s="177">
        <v>84</v>
      </c>
      <c r="FC18" s="177">
        <v>160</v>
      </c>
      <c r="FD18" s="177">
        <v>498</v>
      </c>
      <c r="FE18" s="177">
        <v>115</v>
      </c>
      <c r="FF18" s="177">
        <v>233</v>
      </c>
      <c r="FG18" s="177">
        <v>150</v>
      </c>
      <c r="FH18" s="177">
        <v>216</v>
      </c>
      <c r="FI18" s="177">
        <v>60</v>
      </c>
      <c r="FJ18" s="177">
        <v>290</v>
      </c>
      <c r="FK18" s="176">
        <v>103.801344827586</v>
      </c>
      <c r="FL18" s="177">
        <v>16</v>
      </c>
      <c r="FM18" s="177">
        <v>17</v>
      </c>
      <c r="FN18" s="177">
        <v>33</v>
      </c>
      <c r="FO18" s="177">
        <v>38</v>
      </c>
      <c r="FP18" s="177">
        <v>4</v>
      </c>
      <c r="FQ18" s="178">
        <v>7</v>
      </c>
      <c r="FR18" s="177">
        <v>2</v>
      </c>
      <c r="FS18" s="177">
        <v>5</v>
      </c>
      <c r="FT18" s="182">
        <v>0.087</v>
      </c>
      <c r="FU18" s="177">
        <v>0</v>
      </c>
      <c r="FV18" s="182">
        <v>0</v>
      </c>
      <c r="FW18" s="177">
        <v>7</v>
      </c>
      <c r="FX18" s="182">
        <v>0.0241379310344828</v>
      </c>
      <c r="FY18" s="200">
        <v>525</v>
      </c>
      <c r="FZ18" s="177">
        <v>5002.38</v>
      </c>
      <c r="GA18" s="177">
        <v>1200</v>
      </c>
      <c r="GB18" s="177">
        <v>6202.38</v>
      </c>
      <c r="GC18" s="177">
        <v>36</v>
      </c>
      <c r="GD18" s="177">
        <v>55</v>
      </c>
      <c r="GE18" s="177">
        <v>203</v>
      </c>
      <c r="GF18" s="177">
        <v>52</v>
      </c>
      <c r="GG18" s="177">
        <v>60</v>
      </c>
      <c r="GH18" s="177">
        <v>91</v>
      </c>
      <c r="GI18" s="177">
        <v>56</v>
      </c>
      <c r="GJ18" s="177">
        <v>24</v>
      </c>
      <c r="GK18" s="177">
        <v>53</v>
      </c>
      <c r="GL18" s="176">
        <v>117.026037735849</v>
      </c>
      <c r="GM18" s="177">
        <v>2</v>
      </c>
      <c r="GN18" s="177">
        <v>3</v>
      </c>
      <c r="GO18" s="177">
        <v>5</v>
      </c>
      <c r="GP18" s="177">
        <v>15</v>
      </c>
      <c r="GQ18" s="177">
        <v>0</v>
      </c>
      <c r="GR18" s="178">
        <v>0</v>
      </c>
      <c r="GS18" s="177">
        <v>0</v>
      </c>
      <c r="GT18" s="177">
        <v>0</v>
      </c>
      <c r="GU18" s="182">
        <v>0</v>
      </c>
      <c r="GV18" s="177">
        <v>0</v>
      </c>
      <c r="GW18" s="182">
        <v>0</v>
      </c>
      <c r="GX18" s="177">
        <v>0</v>
      </c>
      <c r="GY18" s="182">
        <v>0</v>
      </c>
      <c r="GZ18" s="200">
        <v>592</v>
      </c>
    </row>
    <row r="19" s="102" customFormat="1" ht="39" customHeight="1" spans="1:208">
      <c r="A19" s="201">
        <v>15</v>
      </c>
      <c r="B19" s="202" t="s">
        <v>34</v>
      </c>
      <c r="C19" s="203">
        <f t="shared" si="1"/>
        <v>0</v>
      </c>
      <c r="D19" s="203">
        <f t="shared" si="2"/>
        <v>0</v>
      </c>
      <c r="E19" s="203">
        <f t="shared" si="3"/>
        <v>0</v>
      </c>
      <c r="F19" s="203">
        <f t="shared" si="4"/>
        <v>377</v>
      </c>
      <c r="G19" s="203">
        <f t="shared" si="5"/>
        <v>435</v>
      </c>
      <c r="H19" s="203">
        <f t="shared" si="6"/>
        <v>249</v>
      </c>
      <c r="I19" s="203">
        <f t="shared" si="7"/>
        <v>149</v>
      </c>
      <c r="J19" s="203">
        <f t="shared" si="8"/>
        <v>112</v>
      </c>
      <c r="K19" s="203">
        <f t="shared" si="9"/>
        <v>0</v>
      </c>
      <c r="L19" s="203">
        <f t="shared" si="10"/>
        <v>99</v>
      </c>
      <c r="M19" s="203">
        <f t="shared" si="11"/>
        <v>91</v>
      </c>
      <c r="N19" s="203">
        <f t="shared" si="12"/>
        <v>0</v>
      </c>
      <c r="O19" s="204">
        <v>0</v>
      </c>
      <c r="P19" s="203">
        <f t="shared" si="14"/>
        <v>33</v>
      </c>
      <c r="Q19" s="203">
        <f t="shared" si="15"/>
        <v>22</v>
      </c>
      <c r="R19" s="205">
        <f t="shared" si="16"/>
        <v>54</v>
      </c>
      <c r="S19" s="205">
        <v>0</v>
      </c>
      <c r="T19" s="205">
        <v>0</v>
      </c>
      <c r="U19" s="206">
        <f t="shared" si="17"/>
        <v>0</v>
      </c>
      <c r="V19" s="203">
        <f t="shared" si="18"/>
        <v>0</v>
      </c>
      <c r="W19" s="203">
        <f t="shared" si="19"/>
        <v>0</v>
      </c>
      <c r="X19" s="207">
        <v>0</v>
      </c>
      <c r="Y19" s="203">
        <f t="shared" si="20"/>
        <v>0</v>
      </c>
      <c r="Z19" s="208">
        <f t="shared" si="21"/>
        <v>0</v>
      </c>
      <c r="AA19" s="209">
        <f t="shared" si="22"/>
        <v>0</v>
      </c>
      <c r="AB19" s="210">
        <v>0</v>
      </c>
      <c r="AC19" s="170"/>
      <c r="AD19" s="185">
        <v>0</v>
      </c>
      <c r="AE19" s="171">
        <v>0</v>
      </c>
      <c r="AF19" s="172">
        <v>0</v>
      </c>
      <c r="AG19" s="171">
        <v>92</v>
      </c>
      <c r="AH19" s="171">
        <v>75</v>
      </c>
      <c r="AI19" s="172">
        <v>19</v>
      </c>
      <c r="AJ19" s="171">
        <v>9</v>
      </c>
      <c r="AK19" s="171">
        <v>10</v>
      </c>
      <c r="AL19" s="171">
        <v>0</v>
      </c>
      <c r="AM19" s="171">
        <v>20</v>
      </c>
      <c r="AN19" s="171">
        <v>7</v>
      </c>
      <c r="AO19" s="171">
        <v>0</v>
      </c>
      <c r="AP19" s="173">
        <v>0</v>
      </c>
      <c r="AQ19" s="171">
        <v>4</v>
      </c>
      <c r="AR19" s="171">
        <v>3</v>
      </c>
      <c r="AS19" s="171">
        <v>7</v>
      </c>
      <c r="AT19" s="171">
        <v>0</v>
      </c>
      <c r="AU19" s="171">
        <v>0</v>
      </c>
      <c r="AV19" s="171">
        <v>0</v>
      </c>
      <c r="AW19" s="174">
        <v>0</v>
      </c>
      <c r="AX19" s="171">
        <v>0</v>
      </c>
      <c r="AY19" s="174">
        <v>0</v>
      </c>
      <c r="AZ19" s="171">
        <v>0</v>
      </c>
      <c r="BA19" s="174">
        <v>0</v>
      </c>
      <c r="BB19" s="171">
        <v>762</v>
      </c>
      <c r="BC19" s="185">
        <v>0</v>
      </c>
      <c r="BD19" s="171">
        <v>0</v>
      </c>
      <c r="BE19" s="172">
        <v>0</v>
      </c>
      <c r="BF19" s="171">
        <v>42</v>
      </c>
      <c r="BG19" s="171">
        <v>30</v>
      </c>
      <c r="BH19" s="172">
        <v>2</v>
      </c>
      <c r="BI19" s="171">
        <v>2</v>
      </c>
      <c r="BJ19" s="171">
        <v>0</v>
      </c>
      <c r="BK19" s="171">
        <v>0</v>
      </c>
      <c r="BL19" s="171">
        <v>0</v>
      </c>
      <c r="BM19" s="171">
        <v>2</v>
      </c>
      <c r="BN19" s="171">
        <v>0</v>
      </c>
      <c r="BO19" s="173">
        <v>0</v>
      </c>
      <c r="BP19" s="171">
        <v>1</v>
      </c>
      <c r="BQ19" s="171">
        <v>0</v>
      </c>
      <c r="BR19" s="171">
        <v>1</v>
      </c>
      <c r="BS19" s="171">
        <v>0</v>
      </c>
      <c r="BT19" s="171">
        <v>0</v>
      </c>
      <c r="BU19" s="171">
        <v>0</v>
      </c>
      <c r="BV19" s="174">
        <v>0</v>
      </c>
      <c r="BW19" s="171">
        <v>0</v>
      </c>
      <c r="BX19" s="174">
        <v>0</v>
      </c>
      <c r="BY19" s="171">
        <v>0</v>
      </c>
      <c r="BZ19" s="174">
        <v>0</v>
      </c>
      <c r="CA19" s="171"/>
      <c r="CB19" s="185">
        <v>0</v>
      </c>
      <c r="CC19" s="171">
        <v>0</v>
      </c>
      <c r="CD19" s="172">
        <v>0</v>
      </c>
      <c r="CE19" s="171">
        <v>50</v>
      </c>
      <c r="CF19" s="171">
        <v>81</v>
      </c>
      <c r="CG19" s="172">
        <v>22</v>
      </c>
      <c r="CH19" s="171">
        <v>19</v>
      </c>
      <c r="CI19" s="171">
        <v>15</v>
      </c>
      <c r="CJ19" s="171">
        <v>0</v>
      </c>
      <c r="CK19" s="171">
        <v>11</v>
      </c>
      <c r="CL19" s="171">
        <v>27</v>
      </c>
      <c r="CM19" s="171">
        <v>0</v>
      </c>
      <c r="CN19" s="173">
        <v>0</v>
      </c>
      <c r="CO19" s="171">
        <v>3</v>
      </c>
      <c r="CP19" s="171">
        <v>1</v>
      </c>
      <c r="CQ19" s="171">
        <v>3</v>
      </c>
      <c r="CR19" s="171">
        <v>0</v>
      </c>
      <c r="CS19" s="171">
        <v>0</v>
      </c>
      <c r="CT19" s="171">
        <v>0</v>
      </c>
      <c r="CU19" s="174">
        <v>0</v>
      </c>
      <c r="CV19" s="171">
        <v>0</v>
      </c>
      <c r="CW19" s="174">
        <v>0</v>
      </c>
      <c r="CX19" s="171">
        <v>0</v>
      </c>
      <c r="CY19" s="174">
        <v>0</v>
      </c>
      <c r="CZ19" s="171">
        <v>774</v>
      </c>
      <c r="DA19" s="185">
        <v>0</v>
      </c>
      <c r="DB19" s="171">
        <v>0</v>
      </c>
      <c r="DC19" s="172">
        <v>0</v>
      </c>
      <c r="DD19" s="171">
        <v>73</v>
      </c>
      <c r="DE19" s="171">
        <v>84</v>
      </c>
      <c r="DF19" s="172">
        <v>74</v>
      </c>
      <c r="DG19" s="171">
        <v>31</v>
      </c>
      <c r="DH19" s="171">
        <v>43</v>
      </c>
      <c r="DI19" s="171">
        <v>0</v>
      </c>
      <c r="DJ19" s="171">
        <v>15</v>
      </c>
      <c r="DK19" s="171">
        <v>12</v>
      </c>
      <c r="DL19" s="171">
        <v>0</v>
      </c>
      <c r="DM19" s="173">
        <v>0</v>
      </c>
      <c r="DN19" s="171">
        <v>15</v>
      </c>
      <c r="DO19" s="171">
        <v>8</v>
      </c>
      <c r="DP19" s="171">
        <v>23</v>
      </c>
      <c r="DQ19" s="171">
        <v>0</v>
      </c>
      <c r="DR19" s="171">
        <v>0</v>
      </c>
      <c r="DS19" s="171">
        <v>0</v>
      </c>
      <c r="DT19" s="174">
        <v>0</v>
      </c>
      <c r="DU19" s="171">
        <v>0</v>
      </c>
      <c r="DV19" s="174">
        <v>0</v>
      </c>
      <c r="DW19" s="171">
        <v>0</v>
      </c>
      <c r="DX19" s="174">
        <v>0</v>
      </c>
      <c r="DY19" s="171"/>
      <c r="DZ19" s="185">
        <v>0</v>
      </c>
      <c r="EA19" s="171">
        <v>0</v>
      </c>
      <c r="EB19" s="172">
        <v>0</v>
      </c>
      <c r="EC19" s="171">
        <v>67</v>
      </c>
      <c r="ED19" s="171">
        <v>99</v>
      </c>
      <c r="EE19" s="172">
        <v>84</v>
      </c>
      <c r="EF19" s="171">
        <v>54</v>
      </c>
      <c r="EG19" s="171">
        <v>30</v>
      </c>
      <c r="EH19" s="171">
        <v>0</v>
      </c>
      <c r="EI19" s="171">
        <v>37</v>
      </c>
      <c r="EJ19" s="171">
        <v>27</v>
      </c>
      <c r="EK19" s="171">
        <v>0</v>
      </c>
      <c r="EL19" s="173">
        <v>0</v>
      </c>
      <c r="EM19" s="171">
        <v>5</v>
      </c>
      <c r="EN19" s="171">
        <v>7</v>
      </c>
      <c r="EO19" s="171">
        <v>12</v>
      </c>
      <c r="EP19" s="171">
        <v>0</v>
      </c>
      <c r="EQ19" s="171">
        <v>0</v>
      </c>
      <c r="ER19" s="171">
        <v>0</v>
      </c>
      <c r="ES19" s="174">
        <v>0</v>
      </c>
      <c r="ET19" s="171">
        <v>0</v>
      </c>
      <c r="EU19" s="174">
        <v>0</v>
      </c>
      <c r="EV19" s="171">
        <v>0</v>
      </c>
      <c r="EW19" s="174">
        <v>0</v>
      </c>
      <c r="EX19" s="171">
        <v>808</v>
      </c>
      <c r="EY19" s="177">
        <v>0</v>
      </c>
      <c r="EZ19" s="177">
        <v>0</v>
      </c>
      <c r="FA19" s="177">
        <v>0</v>
      </c>
      <c r="FB19" s="177">
        <v>53</v>
      </c>
      <c r="FC19" s="177">
        <v>66</v>
      </c>
      <c r="FD19" s="177">
        <v>48</v>
      </c>
      <c r="FE19" s="177">
        <v>34</v>
      </c>
      <c r="FF19" s="177">
        <v>14</v>
      </c>
      <c r="FG19" s="177">
        <v>0</v>
      </c>
      <c r="FH19" s="177">
        <v>16</v>
      </c>
      <c r="FI19" s="177">
        <v>16</v>
      </c>
      <c r="FJ19" s="177">
        <v>0</v>
      </c>
      <c r="FK19" s="211">
        <v>0</v>
      </c>
      <c r="FL19" s="177">
        <v>5</v>
      </c>
      <c r="FM19" s="177">
        <v>3</v>
      </c>
      <c r="FN19" s="177">
        <v>8</v>
      </c>
      <c r="FO19" s="177">
        <v>15</v>
      </c>
      <c r="FP19" s="177">
        <v>1</v>
      </c>
      <c r="FQ19" s="178">
        <v>0</v>
      </c>
      <c r="FR19" s="181">
        <v>0</v>
      </c>
      <c r="FS19" s="181">
        <v>0</v>
      </c>
      <c r="FT19" s="182">
        <v>0</v>
      </c>
      <c r="FU19" s="181">
        <v>0</v>
      </c>
      <c r="FV19" s="180">
        <v>0</v>
      </c>
      <c r="FW19" s="181">
        <v>0</v>
      </c>
      <c r="FX19" s="182">
        <v>0</v>
      </c>
      <c r="FY19" s="183">
        <v>817</v>
      </c>
      <c r="FZ19" s="177">
        <v>0</v>
      </c>
      <c r="GA19" s="177">
        <v>0</v>
      </c>
      <c r="GB19" s="177">
        <v>0</v>
      </c>
      <c r="GC19" s="177">
        <v>0</v>
      </c>
      <c r="GD19" s="177">
        <v>0</v>
      </c>
      <c r="GE19" s="177">
        <v>0</v>
      </c>
      <c r="GF19" s="177">
        <v>0</v>
      </c>
      <c r="GG19" s="177">
        <v>0</v>
      </c>
      <c r="GH19" s="177">
        <v>0</v>
      </c>
      <c r="GI19" s="177">
        <v>0</v>
      </c>
      <c r="GJ19" s="177">
        <v>0</v>
      </c>
      <c r="GK19" s="177">
        <v>0</v>
      </c>
      <c r="GL19" s="211">
        <v>0</v>
      </c>
      <c r="GM19" s="177">
        <v>0</v>
      </c>
      <c r="GN19" s="177">
        <v>0</v>
      </c>
      <c r="GO19" s="177">
        <v>0</v>
      </c>
      <c r="GP19" s="177">
        <v>0</v>
      </c>
      <c r="GQ19" s="177">
        <v>0</v>
      </c>
      <c r="GR19" s="178">
        <v>0</v>
      </c>
      <c r="GS19" s="181">
        <v>0</v>
      </c>
      <c r="GT19" s="181">
        <v>0</v>
      </c>
      <c r="GU19" s="182">
        <v>0</v>
      </c>
      <c r="GV19" s="181">
        <v>0</v>
      </c>
      <c r="GW19" s="180">
        <v>0</v>
      </c>
      <c r="GX19" s="181">
        <v>0</v>
      </c>
      <c r="GY19" s="182">
        <v>0</v>
      </c>
      <c r="GZ19" s="183"/>
    </row>
    <row r="20" s="101" customFormat="1" ht="39" customHeight="1" spans="1:208">
      <c r="A20" s="190">
        <v>16</v>
      </c>
      <c r="B20" s="50" t="s">
        <v>106</v>
      </c>
      <c r="C20" s="191">
        <f t="shared" si="1"/>
        <v>152117.91</v>
      </c>
      <c r="D20" s="191">
        <f t="shared" si="2"/>
        <v>56100.38</v>
      </c>
      <c r="E20" s="191">
        <f t="shared" si="3"/>
        <v>208218.29</v>
      </c>
      <c r="F20" s="191">
        <f t="shared" si="4"/>
        <v>416</v>
      </c>
      <c r="G20" s="191">
        <f t="shared" si="5"/>
        <v>903</v>
      </c>
      <c r="H20" s="191">
        <f t="shared" si="6"/>
        <v>3138</v>
      </c>
      <c r="I20" s="191">
        <f t="shared" si="7"/>
        <v>2402</v>
      </c>
      <c r="J20" s="191">
        <f t="shared" si="8"/>
        <v>594</v>
      </c>
      <c r="K20" s="191">
        <f t="shared" si="9"/>
        <v>142</v>
      </c>
      <c r="L20" s="191">
        <f t="shared" si="10"/>
        <v>2984</v>
      </c>
      <c r="M20" s="191">
        <f t="shared" si="11"/>
        <v>177</v>
      </c>
      <c r="N20" s="191">
        <f t="shared" si="12"/>
        <v>2938</v>
      </c>
      <c r="O20" s="192">
        <f t="shared" si="13"/>
        <v>70.8707590197413</v>
      </c>
      <c r="P20" s="191">
        <f t="shared" si="14"/>
        <v>61</v>
      </c>
      <c r="Q20" s="191">
        <f t="shared" si="15"/>
        <v>13</v>
      </c>
      <c r="R20" s="193">
        <f t="shared" si="16"/>
        <v>74</v>
      </c>
      <c r="S20" s="193">
        <v>8</v>
      </c>
      <c r="T20" s="193">
        <v>1</v>
      </c>
      <c r="U20" s="194">
        <f t="shared" si="17"/>
        <v>24</v>
      </c>
      <c r="V20" s="191">
        <f t="shared" si="18"/>
        <v>24</v>
      </c>
      <c r="W20" s="191">
        <f t="shared" si="19"/>
        <v>0</v>
      </c>
      <c r="X20" s="195">
        <v>0.5</v>
      </c>
      <c r="Y20" s="191">
        <f t="shared" si="20"/>
        <v>0</v>
      </c>
      <c r="Z20" s="196">
        <f t="shared" si="21"/>
        <v>0</v>
      </c>
      <c r="AA20" s="197">
        <f t="shared" si="22"/>
        <v>24</v>
      </c>
      <c r="AB20" s="198">
        <f t="shared" si="23"/>
        <v>0.00816882232811436</v>
      </c>
      <c r="AC20" s="199">
        <v>290</v>
      </c>
      <c r="AD20" s="185">
        <v>25632.05</v>
      </c>
      <c r="AE20" s="171">
        <v>2807.87</v>
      </c>
      <c r="AF20" s="172">
        <v>28439.92</v>
      </c>
      <c r="AG20" s="171">
        <v>46</v>
      </c>
      <c r="AH20" s="171">
        <v>121</v>
      </c>
      <c r="AI20" s="172">
        <v>550</v>
      </c>
      <c r="AJ20" s="171">
        <v>524</v>
      </c>
      <c r="AK20" s="171">
        <v>0</v>
      </c>
      <c r="AL20" s="171">
        <v>26</v>
      </c>
      <c r="AM20" s="171">
        <v>523</v>
      </c>
      <c r="AN20" s="171">
        <v>2</v>
      </c>
      <c r="AO20" s="171">
        <v>530</v>
      </c>
      <c r="AP20" s="173">
        <v>53.6602264150943</v>
      </c>
      <c r="AQ20" s="171">
        <v>0</v>
      </c>
      <c r="AR20" s="171">
        <v>0</v>
      </c>
      <c r="AS20" s="171">
        <v>0</v>
      </c>
      <c r="AT20" s="171">
        <v>0</v>
      </c>
      <c r="AU20" s="171">
        <v>0</v>
      </c>
      <c r="AV20" s="171">
        <v>0</v>
      </c>
      <c r="AW20" s="174">
        <v>0</v>
      </c>
      <c r="AX20" s="171">
        <v>0</v>
      </c>
      <c r="AY20" s="174">
        <v>0</v>
      </c>
      <c r="AZ20" s="171">
        <v>0</v>
      </c>
      <c r="BA20" s="174">
        <v>0</v>
      </c>
      <c r="BB20" s="171">
        <v>601</v>
      </c>
      <c r="BC20" s="185">
        <v>13540.45</v>
      </c>
      <c r="BD20" s="171">
        <v>6926.41</v>
      </c>
      <c r="BE20" s="172">
        <v>20466.86</v>
      </c>
      <c r="BF20" s="171">
        <v>48</v>
      </c>
      <c r="BG20" s="171">
        <v>156</v>
      </c>
      <c r="BH20" s="172">
        <v>285</v>
      </c>
      <c r="BI20" s="171">
        <v>234</v>
      </c>
      <c r="BJ20" s="171">
        <v>35</v>
      </c>
      <c r="BK20" s="171">
        <v>16</v>
      </c>
      <c r="BL20" s="171">
        <v>240</v>
      </c>
      <c r="BM20" s="171">
        <v>1</v>
      </c>
      <c r="BN20" s="171">
        <v>251</v>
      </c>
      <c r="BO20" s="173">
        <v>81.5412749003984</v>
      </c>
      <c r="BP20" s="171">
        <v>3</v>
      </c>
      <c r="BQ20" s="171">
        <v>0</v>
      </c>
      <c r="BR20" s="171">
        <v>3</v>
      </c>
      <c r="BS20" s="171">
        <v>2</v>
      </c>
      <c r="BT20" s="171">
        <v>2</v>
      </c>
      <c r="BU20" s="171">
        <v>0</v>
      </c>
      <c r="BV20" s="174">
        <v>0.25</v>
      </c>
      <c r="BW20" s="171">
        <v>0</v>
      </c>
      <c r="BX20" s="174">
        <v>0</v>
      </c>
      <c r="BY20" s="171">
        <v>2</v>
      </c>
      <c r="BZ20" s="174">
        <v>0.00796812749003984</v>
      </c>
      <c r="CA20" s="171">
        <v>542</v>
      </c>
      <c r="CB20" s="185">
        <v>19236.48</v>
      </c>
      <c r="CC20" s="171">
        <v>9412.12</v>
      </c>
      <c r="CD20" s="172">
        <v>28648.6</v>
      </c>
      <c r="CE20" s="171">
        <v>60</v>
      </c>
      <c r="CF20" s="171">
        <v>241</v>
      </c>
      <c r="CG20" s="172">
        <v>393</v>
      </c>
      <c r="CH20" s="171">
        <v>306</v>
      </c>
      <c r="CI20" s="171">
        <v>79</v>
      </c>
      <c r="CJ20" s="171">
        <v>8</v>
      </c>
      <c r="CK20" s="171">
        <v>369</v>
      </c>
      <c r="CL20" s="171">
        <v>96</v>
      </c>
      <c r="CM20" s="171">
        <v>382</v>
      </c>
      <c r="CN20" s="173">
        <v>74.996335078534</v>
      </c>
      <c r="CO20" s="171">
        <v>8</v>
      </c>
      <c r="CP20" s="171">
        <v>0</v>
      </c>
      <c r="CQ20" s="171">
        <v>8</v>
      </c>
      <c r="CR20" s="171">
        <v>2</v>
      </c>
      <c r="CS20" s="171">
        <v>2</v>
      </c>
      <c r="CT20" s="171">
        <v>0</v>
      </c>
      <c r="CU20" s="174">
        <v>0.23</v>
      </c>
      <c r="CV20" s="171">
        <v>0</v>
      </c>
      <c r="CW20" s="174">
        <v>0</v>
      </c>
      <c r="CX20" s="171">
        <v>2</v>
      </c>
      <c r="CY20" s="174">
        <v>0.00523560209424084</v>
      </c>
      <c r="CZ20" s="171">
        <v>559</v>
      </c>
      <c r="DA20" s="185">
        <v>24805.94</v>
      </c>
      <c r="DB20" s="171">
        <v>6357.26</v>
      </c>
      <c r="DC20" s="172">
        <v>31163.2</v>
      </c>
      <c r="DD20" s="171">
        <v>54</v>
      </c>
      <c r="DE20" s="171">
        <v>83</v>
      </c>
      <c r="DF20" s="172">
        <v>941</v>
      </c>
      <c r="DG20" s="171">
        <v>815</v>
      </c>
      <c r="DH20" s="171">
        <v>118</v>
      </c>
      <c r="DI20" s="171">
        <v>8</v>
      </c>
      <c r="DJ20" s="171">
        <v>934</v>
      </c>
      <c r="DK20" s="171">
        <v>4</v>
      </c>
      <c r="DL20" s="171">
        <v>919</v>
      </c>
      <c r="DM20" s="173">
        <v>33.9099020674646</v>
      </c>
      <c r="DN20" s="171">
        <v>24</v>
      </c>
      <c r="DO20" s="171">
        <v>4</v>
      </c>
      <c r="DP20" s="171">
        <v>28</v>
      </c>
      <c r="DQ20" s="171">
        <v>13</v>
      </c>
      <c r="DR20" s="171">
        <v>13</v>
      </c>
      <c r="DS20" s="171">
        <v>0</v>
      </c>
      <c r="DT20" s="174">
        <v>0.06</v>
      </c>
      <c r="DU20" s="171">
        <v>0</v>
      </c>
      <c r="DV20" s="174">
        <v>0</v>
      </c>
      <c r="DW20" s="171">
        <v>13</v>
      </c>
      <c r="DX20" s="174">
        <v>0.014145810663765</v>
      </c>
      <c r="DY20" s="171">
        <v>419</v>
      </c>
      <c r="DZ20" s="185">
        <v>31224.79</v>
      </c>
      <c r="EA20" s="171">
        <v>6594.16</v>
      </c>
      <c r="EB20" s="185">
        <v>37818.95</v>
      </c>
      <c r="EC20" s="171">
        <v>97</v>
      </c>
      <c r="ED20" s="171">
        <v>121</v>
      </c>
      <c r="EE20" s="172">
        <v>339</v>
      </c>
      <c r="EF20" s="171">
        <v>252</v>
      </c>
      <c r="EG20" s="171">
        <v>64</v>
      </c>
      <c r="EH20" s="171">
        <v>23</v>
      </c>
      <c r="EI20" s="171">
        <v>332</v>
      </c>
      <c r="EJ20" s="171">
        <v>13</v>
      </c>
      <c r="EK20" s="171">
        <v>316</v>
      </c>
      <c r="EL20" s="173">
        <v>119.680221518987</v>
      </c>
      <c r="EM20" s="171">
        <v>15</v>
      </c>
      <c r="EN20" s="171">
        <v>3</v>
      </c>
      <c r="EO20" s="171">
        <v>18</v>
      </c>
      <c r="EP20" s="171">
        <v>0</v>
      </c>
      <c r="EQ20" s="171">
        <v>0</v>
      </c>
      <c r="ER20" s="171">
        <v>0</v>
      </c>
      <c r="ES20" s="174">
        <v>0</v>
      </c>
      <c r="ET20" s="171">
        <v>0</v>
      </c>
      <c r="EU20" s="174">
        <v>0</v>
      </c>
      <c r="EV20" s="171">
        <v>0</v>
      </c>
      <c r="EW20" s="174">
        <v>0</v>
      </c>
      <c r="EX20" s="171">
        <v>514</v>
      </c>
      <c r="EY20" s="177">
        <v>20225.68</v>
      </c>
      <c r="EZ20" s="177">
        <v>19774.32</v>
      </c>
      <c r="FA20" s="177">
        <v>40000</v>
      </c>
      <c r="FB20" s="177">
        <v>80</v>
      </c>
      <c r="FC20" s="177">
        <v>116</v>
      </c>
      <c r="FD20" s="177">
        <v>426</v>
      </c>
      <c r="FE20" s="177">
        <v>141</v>
      </c>
      <c r="FF20" s="177">
        <v>238</v>
      </c>
      <c r="FG20" s="177">
        <v>47</v>
      </c>
      <c r="FH20" s="177">
        <v>426</v>
      </c>
      <c r="FI20" s="177">
        <v>47</v>
      </c>
      <c r="FJ20" s="177">
        <v>350</v>
      </c>
      <c r="FK20" s="176">
        <v>114.285714285714</v>
      </c>
      <c r="FL20" s="177">
        <v>5</v>
      </c>
      <c r="FM20" s="177">
        <v>4</v>
      </c>
      <c r="FN20" s="177">
        <v>9</v>
      </c>
      <c r="FO20" s="177">
        <v>17</v>
      </c>
      <c r="FP20" s="177">
        <v>9</v>
      </c>
      <c r="FQ20" s="178">
        <v>3</v>
      </c>
      <c r="FR20" s="177">
        <v>3</v>
      </c>
      <c r="FS20" s="177">
        <v>0</v>
      </c>
      <c r="FT20" s="182">
        <v>0.177</v>
      </c>
      <c r="FU20" s="177">
        <v>0</v>
      </c>
      <c r="FV20" s="182">
        <v>0</v>
      </c>
      <c r="FW20" s="177">
        <v>3</v>
      </c>
      <c r="FX20" s="182">
        <v>0.00857142857142857</v>
      </c>
      <c r="FY20" s="200">
        <v>495</v>
      </c>
      <c r="FZ20" s="177">
        <v>17452.52</v>
      </c>
      <c r="GA20" s="177">
        <v>4228.24</v>
      </c>
      <c r="GB20" s="177">
        <v>21680.76</v>
      </c>
      <c r="GC20" s="177">
        <v>31</v>
      </c>
      <c r="GD20" s="177">
        <v>65</v>
      </c>
      <c r="GE20" s="177">
        <v>204</v>
      </c>
      <c r="GF20" s="177">
        <v>130</v>
      </c>
      <c r="GG20" s="177">
        <v>60</v>
      </c>
      <c r="GH20" s="177">
        <v>14</v>
      </c>
      <c r="GI20" s="177">
        <v>160</v>
      </c>
      <c r="GJ20" s="177">
        <v>14</v>
      </c>
      <c r="GK20" s="177">
        <v>190</v>
      </c>
      <c r="GL20" s="176">
        <v>114.109263157895</v>
      </c>
      <c r="GM20" s="177">
        <v>6</v>
      </c>
      <c r="GN20" s="177">
        <v>2</v>
      </c>
      <c r="GO20" s="177">
        <v>8</v>
      </c>
      <c r="GP20" s="177">
        <v>8</v>
      </c>
      <c r="GQ20" s="177">
        <v>1</v>
      </c>
      <c r="GR20" s="178">
        <v>4</v>
      </c>
      <c r="GS20" s="177">
        <v>4</v>
      </c>
      <c r="GT20" s="177">
        <v>0</v>
      </c>
      <c r="GU20" s="182">
        <v>0.5</v>
      </c>
      <c r="GV20" s="177">
        <v>0</v>
      </c>
      <c r="GW20" s="182">
        <v>0</v>
      </c>
      <c r="GX20" s="177">
        <v>4</v>
      </c>
      <c r="GY20" s="182">
        <v>0.0210526315789474</v>
      </c>
      <c r="GZ20" s="200">
        <v>290</v>
      </c>
    </row>
    <row r="21" s="102" customFormat="1" ht="39" customHeight="1" spans="1:208">
      <c r="A21" s="201">
        <v>17</v>
      </c>
      <c r="B21" s="202" t="s">
        <v>107</v>
      </c>
      <c r="C21" s="203">
        <f t="shared" si="1"/>
        <v>92328.49</v>
      </c>
      <c r="D21" s="203">
        <f t="shared" si="2"/>
        <v>100111.46</v>
      </c>
      <c r="E21" s="203">
        <f t="shared" si="3"/>
        <v>192439.95</v>
      </c>
      <c r="F21" s="203">
        <f t="shared" si="4"/>
        <v>376</v>
      </c>
      <c r="G21" s="203">
        <f t="shared" si="5"/>
        <v>807</v>
      </c>
      <c r="H21" s="203">
        <f t="shared" si="6"/>
        <v>1580</v>
      </c>
      <c r="I21" s="203">
        <f t="shared" si="7"/>
        <v>631</v>
      </c>
      <c r="J21" s="203">
        <f t="shared" si="8"/>
        <v>849</v>
      </c>
      <c r="K21" s="203">
        <f t="shared" si="9"/>
        <v>100</v>
      </c>
      <c r="L21" s="203">
        <f t="shared" si="10"/>
        <v>1417</v>
      </c>
      <c r="M21" s="203">
        <f t="shared" si="11"/>
        <v>64</v>
      </c>
      <c r="N21" s="203">
        <f t="shared" si="12"/>
        <v>1397</v>
      </c>
      <c r="O21" s="204">
        <f t="shared" si="13"/>
        <v>137.752290622763</v>
      </c>
      <c r="P21" s="203">
        <f t="shared" si="14"/>
        <v>69</v>
      </c>
      <c r="Q21" s="203">
        <f t="shared" si="15"/>
        <v>32</v>
      </c>
      <c r="R21" s="205">
        <f t="shared" si="16"/>
        <v>93</v>
      </c>
      <c r="S21" s="205">
        <v>13</v>
      </c>
      <c r="T21" s="205">
        <v>8</v>
      </c>
      <c r="U21" s="206">
        <f t="shared" si="17"/>
        <v>25</v>
      </c>
      <c r="V21" s="203">
        <f t="shared" si="18"/>
        <v>16</v>
      </c>
      <c r="W21" s="203">
        <f t="shared" si="19"/>
        <v>9</v>
      </c>
      <c r="X21" s="207">
        <v>0.25</v>
      </c>
      <c r="Y21" s="203">
        <f t="shared" si="20"/>
        <v>0</v>
      </c>
      <c r="Z21" s="208">
        <f t="shared" si="21"/>
        <v>0</v>
      </c>
      <c r="AA21" s="209">
        <f t="shared" si="22"/>
        <v>25</v>
      </c>
      <c r="AB21" s="210">
        <f t="shared" si="23"/>
        <v>0.0178954903364352</v>
      </c>
      <c r="AC21" s="170">
        <v>535</v>
      </c>
      <c r="AD21" s="185">
        <v>11459.08</v>
      </c>
      <c r="AE21" s="171">
        <v>30831.01</v>
      </c>
      <c r="AF21" s="172">
        <v>42290.09</v>
      </c>
      <c r="AG21" s="171">
        <v>46</v>
      </c>
      <c r="AH21" s="171">
        <v>74</v>
      </c>
      <c r="AI21" s="172">
        <v>188</v>
      </c>
      <c r="AJ21" s="171">
        <v>68</v>
      </c>
      <c r="AK21" s="171">
        <v>102</v>
      </c>
      <c r="AL21" s="171">
        <v>18</v>
      </c>
      <c r="AM21" s="171">
        <v>161</v>
      </c>
      <c r="AN21" s="171">
        <v>9</v>
      </c>
      <c r="AO21" s="171">
        <v>166</v>
      </c>
      <c r="AP21" s="173">
        <v>254.759578313253</v>
      </c>
      <c r="AQ21" s="171">
        <v>1</v>
      </c>
      <c r="AR21" s="171">
        <v>1</v>
      </c>
      <c r="AS21" s="171">
        <v>2</v>
      </c>
      <c r="AT21" s="171">
        <v>1</v>
      </c>
      <c r="AU21" s="171">
        <v>1</v>
      </c>
      <c r="AV21" s="171">
        <v>0</v>
      </c>
      <c r="AW21" s="174">
        <v>0.1</v>
      </c>
      <c r="AX21" s="171">
        <v>0</v>
      </c>
      <c r="AY21" s="174">
        <v>0</v>
      </c>
      <c r="AZ21" s="171">
        <v>1</v>
      </c>
      <c r="BA21" s="174">
        <v>0.00602409638554217</v>
      </c>
      <c r="BB21" s="171">
        <v>720</v>
      </c>
      <c r="BC21" s="185">
        <v>5500.25</v>
      </c>
      <c r="BD21" s="171">
        <v>2103.35</v>
      </c>
      <c r="BE21" s="172">
        <v>7603.6</v>
      </c>
      <c r="BF21" s="171">
        <v>36</v>
      </c>
      <c r="BG21" s="171">
        <v>95</v>
      </c>
      <c r="BH21" s="172">
        <v>84</v>
      </c>
      <c r="BI21" s="171">
        <v>50</v>
      </c>
      <c r="BJ21" s="171">
        <v>27</v>
      </c>
      <c r="BK21" s="171">
        <v>7</v>
      </c>
      <c r="BL21" s="171">
        <v>72</v>
      </c>
      <c r="BM21" s="171">
        <v>5</v>
      </c>
      <c r="BN21" s="171">
        <v>23</v>
      </c>
      <c r="BO21" s="173">
        <v>330.591304347826</v>
      </c>
      <c r="BP21" s="171">
        <v>4</v>
      </c>
      <c r="BQ21" s="171">
        <v>2</v>
      </c>
      <c r="BR21" s="171">
        <v>6</v>
      </c>
      <c r="BS21" s="171">
        <v>0</v>
      </c>
      <c r="BT21" s="171">
        <v>0</v>
      </c>
      <c r="BU21" s="171">
        <v>0</v>
      </c>
      <c r="BV21" s="174">
        <v>0</v>
      </c>
      <c r="BW21" s="171">
        <v>0</v>
      </c>
      <c r="BX21" s="174">
        <v>0</v>
      </c>
      <c r="BY21" s="171">
        <v>0</v>
      </c>
      <c r="BZ21" s="174">
        <v>0</v>
      </c>
      <c r="CA21" s="171">
        <v>665</v>
      </c>
      <c r="CB21" s="185">
        <v>28086.71</v>
      </c>
      <c r="CC21" s="171">
        <v>9946.53</v>
      </c>
      <c r="CD21" s="172">
        <v>38033.24</v>
      </c>
      <c r="CE21" s="171">
        <v>52</v>
      </c>
      <c r="CF21" s="171">
        <v>146</v>
      </c>
      <c r="CG21" s="172">
        <v>282</v>
      </c>
      <c r="CH21" s="171">
        <v>48</v>
      </c>
      <c r="CI21" s="171">
        <v>220</v>
      </c>
      <c r="CJ21" s="171">
        <v>14</v>
      </c>
      <c r="CK21" s="171">
        <v>251</v>
      </c>
      <c r="CL21" s="171">
        <v>9</v>
      </c>
      <c r="CM21" s="171">
        <v>267</v>
      </c>
      <c r="CN21" s="173">
        <v>142.4465917603</v>
      </c>
      <c r="CO21" s="171">
        <v>15</v>
      </c>
      <c r="CP21" s="171">
        <v>6</v>
      </c>
      <c r="CQ21" s="171">
        <v>21</v>
      </c>
      <c r="CR21" s="171">
        <v>4</v>
      </c>
      <c r="CS21" s="171">
        <v>2</v>
      </c>
      <c r="CT21" s="171">
        <v>2</v>
      </c>
      <c r="CU21" s="174">
        <v>0.2</v>
      </c>
      <c r="CV21" s="171">
        <v>0</v>
      </c>
      <c r="CW21" s="174">
        <v>0</v>
      </c>
      <c r="CX21" s="171">
        <v>4</v>
      </c>
      <c r="CY21" s="174">
        <v>0.0149812734082397</v>
      </c>
      <c r="CZ21" s="171">
        <v>650</v>
      </c>
      <c r="DA21" s="185">
        <v>13624.48</v>
      </c>
      <c r="DB21" s="171">
        <v>26401.38</v>
      </c>
      <c r="DC21" s="172">
        <v>40025.86</v>
      </c>
      <c r="DD21" s="171">
        <v>73</v>
      </c>
      <c r="DE21" s="171">
        <v>162</v>
      </c>
      <c r="DF21" s="172">
        <v>398</v>
      </c>
      <c r="DG21" s="171">
        <v>110</v>
      </c>
      <c r="DH21" s="171">
        <v>277</v>
      </c>
      <c r="DI21" s="171">
        <v>11</v>
      </c>
      <c r="DJ21" s="171">
        <v>378</v>
      </c>
      <c r="DK21" s="171">
        <v>9</v>
      </c>
      <c r="DL21" s="171">
        <v>382</v>
      </c>
      <c r="DM21" s="173">
        <v>104.779738219895</v>
      </c>
      <c r="DN21" s="171">
        <v>18</v>
      </c>
      <c r="DO21" s="171">
        <v>10</v>
      </c>
      <c r="DP21" s="171">
        <v>28</v>
      </c>
      <c r="DQ21" s="171">
        <v>7</v>
      </c>
      <c r="DR21" s="171">
        <v>4</v>
      </c>
      <c r="DS21" s="171">
        <v>3</v>
      </c>
      <c r="DT21" s="174">
        <v>0.043</v>
      </c>
      <c r="DU21" s="171">
        <v>0</v>
      </c>
      <c r="DV21" s="174">
        <v>0</v>
      </c>
      <c r="DW21" s="171">
        <v>7</v>
      </c>
      <c r="DX21" s="174">
        <v>0.0183246073298429</v>
      </c>
      <c r="DY21" s="171">
        <v>553</v>
      </c>
      <c r="DZ21" s="185">
        <v>19408.1</v>
      </c>
      <c r="EA21" s="171">
        <v>6733.15</v>
      </c>
      <c r="EB21" s="172">
        <v>26141.25</v>
      </c>
      <c r="EC21" s="171">
        <v>73</v>
      </c>
      <c r="ED21" s="171">
        <v>143</v>
      </c>
      <c r="EE21" s="172">
        <v>263</v>
      </c>
      <c r="EF21" s="171">
        <v>196</v>
      </c>
      <c r="EG21" s="171">
        <v>45</v>
      </c>
      <c r="EH21" s="171">
        <v>22</v>
      </c>
      <c r="EI21" s="171">
        <v>232</v>
      </c>
      <c r="EJ21" s="171">
        <v>10</v>
      </c>
      <c r="EK21" s="171">
        <v>231</v>
      </c>
      <c r="EL21" s="173">
        <v>113.165584415584</v>
      </c>
      <c r="EM21" s="171">
        <v>13</v>
      </c>
      <c r="EN21" s="171">
        <v>7</v>
      </c>
      <c r="EO21" s="171">
        <v>12</v>
      </c>
      <c r="EP21" s="171">
        <v>5</v>
      </c>
      <c r="EQ21" s="171">
        <v>5</v>
      </c>
      <c r="ER21" s="171">
        <v>0</v>
      </c>
      <c r="ES21" s="174">
        <v>0.176</v>
      </c>
      <c r="ET21" s="171">
        <v>0</v>
      </c>
      <c r="EU21" s="174">
        <v>0</v>
      </c>
      <c r="EV21" s="171">
        <v>5</v>
      </c>
      <c r="EW21" s="174">
        <v>0.0216450216450216</v>
      </c>
      <c r="EX21" s="171">
        <v>647</v>
      </c>
      <c r="EY21" s="177">
        <v>10794.64</v>
      </c>
      <c r="EZ21" s="177">
        <v>16564.81</v>
      </c>
      <c r="FA21" s="177">
        <v>27359.45</v>
      </c>
      <c r="FB21" s="177">
        <v>64</v>
      </c>
      <c r="FC21" s="177">
        <v>132</v>
      </c>
      <c r="FD21" s="177">
        <v>256</v>
      </c>
      <c r="FE21" s="177">
        <v>129</v>
      </c>
      <c r="FF21" s="177">
        <v>114</v>
      </c>
      <c r="FG21" s="177">
        <v>13</v>
      </c>
      <c r="FH21" s="177">
        <v>233</v>
      </c>
      <c r="FI21" s="177">
        <v>13</v>
      </c>
      <c r="FJ21" s="177">
        <v>238</v>
      </c>
      <c r="FK21" s="211">
        <v>114.955672268908</v>
      </c>
      <c r="FL21" s="177">
        <v>11</v>
      </c>
      <c r="FM21" s="177">
        <v>3</v>
      </c>
      <c r="FN21" s="177">
        <v>14</v>
      </c>
      <c r="FO21" s="177">
        <v>32</v>
      </c>
      <c r="FP21" s="177">
        <v>11</v>
      </c>
      <c r="FQ21" s="178">
        <v>6</v>
      </c>
      <c r="FR21" s="181">
        <v>3</v>
      </c>
      <c r="FS21" s="181">
        <v>3</v>
      </c>
      <c r="FT21" s="182">
        <v>0.188</v>
      </c>
      <c r="FU21" s="181">
        <v>0</v>
      </c>
      <c r="FV21" s="180">
        <v>0</v>
      </c>
      <c r="FW21" s="181">
        <v>6</v>
      </c>
      <c r="FX21" s="182">
        <v>0.0252100840336134</v>
      </c>
      <c r="FY21" s="183">
        <v>552</v>
      </c>
      <c r="FZ21" s="177">
        <v>3455.23</v>
      </c>
      <c r="GA21" s="177">
        <v>7531.23</v>
      </c>
      <c r="GB21" s="177">
        <v>10986.46</v>
      </c>
      <c r="GC21" s="177">
        <v>32</v>
      </c>
      <c r="GD21" s="177">
        <v>55</v>
      </c>
      <c r="GE21" s="177">
        <v>109</v>
      </c>
      <c r="GF21" s="177">
        <v>30</v>
      </c>
      <c r="GG21" s="177">
        <v>64</v>
      </c>
      <c r="GH21" s="177">
        <v>15</v>
      </c>
      <c r="GI21" s="177">
        <v>90</v>
      </c>
      <c r="GJ21" s="177">
        <v>9</v>
      </c>
      <c r="GK21" s="177">
        <v>90</v>
      </c>
      <c r="GL21" s="211">
        <v>122.071777777778</v>
      </c>
      <c r="GM21" s="177">
        <v>7</v>
      </c>
      <c r="GN21" s="177">
        <v>3</v>
      </c>
      <c r="GO21" s="177">
        <v>10</v>
      </c>
      <c r="GP21" s="177">
        <v>13</v>
      </c>
      <c r="GQ21" s="177">
        <v>8</v>
      </c>
      <c r="GR21" s="178">
        <v>2</v>
      </c>
      <c r="GS21" s="181">
        <v>1</v>
      </c>
      <c r="GT21" s="181">
        <v>1</v>
      </c>
      <c r="GU21" s="182">
        <v>0.25</v>
      </c>
      <c r="GV21" s="181">
        <v>0</v>
      </c>
      <c r="GW21" s="180">
        <v>0</v>
      </c>
      <c r="GX21" s="181">
        <v>2</v>
      </c>
      <c r="GY21" s="182">
        <v>0.0222222222222222</v>
      </c>
      <c r="GZ21" s="183">
        <v>535</v>
      </c>
    </row>
    <row r="22" s="101" customFormat="1" ht="39" customHeight="1" spans="1:208">
      <c r="A22" s="190">
        <v>18</v>
      </c>
      <c r="B22" s="50" t="s">
        <v>37</v>
      </c>
      <c r="C22" s="191">
        <f t="shared" si="1"/>
        <v>29700.29</v>
      </c>
      <c r="D22" s="191">
        <f t="shared" si="2"/>
        <v>5107.13</v>
      </c>
      <c r="E22" s="191">
        <f t="shared" si="3"/>
        <v>34807.42</v>
      </c>
      <c r="F22" s="191">
        <f t="shared" si="4"/>
        <v>128</v>
      </c>
      <c r="G22" s="191">
        <f t="shared" si="5"/>
        <v>127</v>
      </c>
      <c r="H22" s="191">
        <f t="shared" si="6"/>
        <v>541</v>
      </c>
      <c r="I22" s="191">
        <f t="shared" si="7"/>
        <v>92</v>
      </c>
      <c r="J22" s="191">
        <f t="shared" si="8"/>
        <v>32</v>
      </c>
      <c r="K22" s="191">
        <f t="shared" si="9"/>
        <v>417</v>
      </c>
      <c r="L22" s="191">
        <f t="shared" si="10"/>
        <v>0</v>
      </c>
      <c r="M22" s="191">
        <f t="shared" si="11"/>
        <v>6</v>
      </c>
      <c r="N22" s="191">
        <f t="shared" si="12"/>
        <v>102</v>
      </c>
      <c r="O22" s="192">
        <f t="shared" si="13"/>
        <v>341.249215686275</v>
      </c>
      <c r="P22" s="191">
        <f t="shared" si="14"/>
        <v>5</v>
      </c>
      <c r="Q22" s="191">
        <f t="shared" si="15"/>
        <v>0</v>
      </c>
      <c r="R22" s="193">
        <f t="shared" si="16"/>
        <v>5</v>
      </c>
      <c r="S22" s="193">
        <v>3</v>
      </c>
      <c r="T22" s="193">
        <v>1</v>
      </c>
      <c r="U22" s="194">
        <f t="shared" si="17"/>
        <v>2</v>
      </c>
      <c r="V22" s="191">
        <f t="shared" si="18"/>
        <v>2</v>
      </c>
      <c r="W22" s="191">
        <f t="shared" si="19"/>
        <v>0</v>
      </c>
      <c r="X22" s="195">
        <v>0</v>
      </c>
      <c r="Y22" s="191">
        <f t="shared" si="20"/>
        <v>0</v>
      </c>
      <c r="Z22" s="196">
        <f t="shared" si="21"/>
        <v>0</v>
      </c>
      <c r="AA22" s="197">
        <f t="shared" si="22"/>
        <v>2</v>
      </c>
      <c r="AB22" s="198">
        <f t="shared" si="23"/>
        <v>0.0196078431372549</v>
      </c>
      <c r="AC22" s="199">
        <v>279</v>
      </c>
      <c r="AD22" s="185"/>
      <c r="AE22" s="171"/>
      <c r="AF22" s="172"/>
      <c r="AG22" s="171"/>
      <c r="AH22" s="171"/>
      <c r="AI22" s="172"/>
      <c r="AJ22" s="171"/>
      <c r="AK22" s="171"/>
      <c r="AL22" s="171"/>
      <c r="AM22" s="171"/>
      <c r="AN22" s="171"/>
      <c r="AO22" s="171"/>
      <c r="AP22" s="173"/>
      <c r="AQ22" s="171"/>
      <c r="AR22" s="171"/>
      <c r="AS22" s="171"/>
      <c r="AT22" s="171"/>
      <c r="AU22" s="171"/>
      <c r="AV22" s="171"/>
      <c r="AW22" s="174"/>
      <c r="AX22" s="171"/>
      <c r="AY22" s="174"/>
      <c r="AZ22" s="171"/>
      <c r="BA22" s="174"/>
      <c r="BB22" s="171"/>
      <c r="BC22" s="185"/>
      <c r="BD22" s="171"/>
      <c r="BE22" s="172"/>
      <c r="BF22" s="171"/>
      <c r="BG22" s="171"/>
      <c r="BH22" s="172"/>
      <c r="BI22" s="171"/>
      <c r="BJ22" s="171"/>
      <c r="BK22" s="171"/>
      <c r="BL22" s="171"/>
      <c r="BM22" s="171"/>
      <c r="BN22" s="171"/>
      <c r="BO22" s="173"/>
      <c r="BP22" s="171"/>
      <c r="BQ22" s="171"/>
      <c r="BR22" s="171"/>
      <c r="BS22" s="171"/>
      <c r="BT22" s="171"/>
      <c r="BU22" s="171"/>
      <c r="BV22" s="174"/>
      <c r="BW22" s="171"/>
      <c r="BX22" s="174"/>
      <c r="BY22" s="171"/>
      <c r="BZ22" s="174"/>
      <c r="CA22" s="171"/>
      <c r="CB22" s="185"/>
      <c r="CC22" s="171"/>
      <c r="CD22" s="172"/>
      <c r="CE22" s="171"/>
      <c r="CF22" s="171"/>
      <c r="CG22" s="172"/>
      <c r="CH22" s="171"/>
      <c r="CI22" s="171"/>
      <c r="CJ22" s="171"/>
      <c r="CK22" s="171"/>
      <c r="CL22" s="171"/>
      <c r="CM22" s="171"/>
      <c r="CN22" s="173"/>
      <c r="CO22" s="171"/>
      <c r="CP22" s="171"/>
      <c r="CQ22" s="171"/>
      <c r="CR22" s="171"/>
      <c r="CS22" s="171"/>
      <c r="CT22" s="171"/>
      <c r="CU22" s="174"/>
      <c r="CV22" s="171"/>
      <c r="CW22" s="174"/>
      <c r="CX22" s="171"/>
      <c r="CY22" s="174"/>
      <c r="CZ22" s="171"/>
      <c r="DA22" s="185"/>
      <c r="DB22" s="171"/>
      <c r="DC22" s="172"/>
      <c r="DD22" s="171"/>
      <c r="DE22" s="171"/>
      <c r="DF22" s="172"/>
      <c r="DG22" s="171"/>
      <c r="DH22" s="171"/>
      <c r="DI22" s="171"/>
      <c r="DJ22" s="171"/>
      <c r="DK22" s="171"/>
      <c r="DL22" s="171"/>
      <c r="DM22" s="173"/>
      <c r="DN22" s="171"/>
      <c r="DO22" s="171"/>
      <c r="DP22" s="171"/>
      <c r="DQ22" s="171"/>
      <c r="DR22" s="171"/>
      <c r="DS22" s="171"/>
      <c r="DT22" s="174"/>
      <c r="DU22" s="171"/>
      <c r="DV22" s="174"/>
      <c r="DW22" s="171"/>
      <c r="DX22" s="174"/>
      <c r="DY22" s="171"/>
      <c r="DZ22" s="185">
        <v>20438</v>
      </c>
      <c r="EA22" s="171">
        <v>0</v>
      </c>
      <c r="EB22" s="185">
        <v>20438</v>
      </c>
      <c r="EC22" s="171">
        <v>53</v>
      </c>
      <c r="ED22" s="171">
        <v>53</v>
      </c>
      <c r="EE22" s="172">
        <v>64</v>
      </c>
      <c r="EF22" s="171">
        <v>46</v>
      </c>
      <c r="EG22" s="171">
        <v>18</v>
      </c>
      <c r="EH22" s="171">
        <v>0</v>
      </c>
      <c r="EI22" s="171">
        <v>0</v>
      </c>
      <c r="EJ22" s="171">
        <v>0</v>
      </c>
      <c r="EK22" s="171">
        <v>24</v>
      </c>
      <c r="EL22" s="173">
        <v>851.583333333333</v>
      </c>
      <c r="EM22" s="171">
        <v>3</v>
      </c>
      <c r="EN22" s="171">
        <v>0</v>
      </c>
      <c r="EO22" s="171">
        <v>3</v>
      </c>
      <c r="EP22" s="171">
        <v>1</v>
      </c>
      <c r="EQ22" s="171">
        <v>1</v>
      </c>
      <c r="ER22" s="171">
        <v>0</v>
      </c>
      <c r="ES22" s="174">
        <v>0.16</v>
      </c>
      <c r="ET22" s="171">
        <v>0</v>
      </c>
      <c r="EU22" s="174">
        <v>0</v>
      </c>
      <c r="EV22" s="171">
        <v>1</v>
      </c>
      <c r="EW22" s="174">
        <v>0.0416666666666667</v>
      </c>
      <c r="EX22" s="171"/>
      <c r="EY22" s="177">
        <v>8137.58</v>
      </c>
      <c r="EZ22" s="177">
        <v>3419.05</v>
      </c>
      <c r="FA22" s="177">
        <v>11556.63</v>
      </c>
      <c r="FB22" s="177">
        <v>62</v>
      </c>
      <c r="FC22" s="177">
        <v>48</v>
      </c>
      <c r="FD22" s="177">
        <v>297</v>
      </c>
      <c r="FE22" s="177">
        <v>35</v>
      </c>
      <c r="FF22" s="177">
        <v>9</v>
      </c>
      <c r="FG22" s="177">
        <v>253</v>
      </c>
      <c r="FH22" s="177">
        <v>0</v>
      </c>
      <c r="FI22" s="177">
        <v>6</v>
      </c>
      <c r="FJ22" s="177">
        <v>62</v>
      </c>
      <c r="FK22" s="176">
        <v>186.397258064516</v>
      </c>
      <c r="FL22" s="177">
        <v>2</v>
      </c>
      <c r="FM22" s="177">
        <v>0</v>
      </c>
      <c r="FN22" s="177">
        <v>2</v>
      </c>
      <c r="FO22" s="177">
        <v>7</v>
      </c>
      <c r="FP22" s="177">
        <v>0</v>
      </c>
      <c r="FQ22" s="178">
        <v>1</v>
      </c>
      <c r="FR22" s="177">
        <v>1</v>
      </c>
      <c r="FS22" s="177">
        <v>0</v>
      </c>
      <c r="FT22" s="182">
        <v>0.14</v>
      </c>
      <c r="FU22" s="177">
        <v>0</v>
      </c>
      <c r="FV22" s="182">
        <v>0</v>
      </c>
      <c r="FW22" s="177">
        <v>1</v>
      </c>
      <c r="FX22" s="182">
        <v>0.0161290322580645</v>
      </c>
      <c r="FY22" s="200"/>
      <c r="FZ22" s="177">
        <v>1124.71</v>
      </c>
      <c r="GA22" s="177">
        <v>1688.08</v>
      </c>
      <c r="GB22" s="177">
        <v>2812.79</v>
      </c>
      <c r="GC22" s="177">
        <v>13</v>
      </c>
      <c r="GD22" s="177">
        <v>26</v>
      </c>
      <c r="GE22" s="177">
        <v>180</v>
      </c>
      <c r="GF22" s="177">
        <v>11</v>
      </c>
      <c r="GG22" s="177">
        <v>5</v>
      </c>
      <c r="GH22" s="177">
        <v>164</v>
      </c>
      <c r="GI22" s="177">
        <v>0</v>
      </c>
      <c r="GJ22" s="177">
        <v>0</v>
      </c>
      <c r="GK22" s="177">
        <v>16</v>
      </c>
      <c r="GL22" s="176">
        <v>175.799375</v>
      </c>
      <c r="GM22" s="177">
        <v>0</v>
      </c>
      <c r="GN22" s="177">
        <v>0</v>
      </c>
      <c r="GO22" s="177">
        <v>0</v>
      </c>
      <c r="GP22" s="177">
        <v>3</v>
      </c>
      <c r="GQ22" s="177">
        <v>1</v>
      </c>
      <c r="GR22" s="178">
        <v>0</v>
      </c>
      <c r="GS22" s="177">
        <v>0</v>
      </c>
      <c r="GT22" s="177">
        <v>0</v>
      </c>
      <c r="GU22" s="182">
        <v>0</v>
      </c>
      <c r="GV22" s="177">
        <v>0</v>
      </c>
      <c r="GW22" s="182">
        <v>0</v>
      </c>
      <c r="GX22" s="177">
        <v>0</v>
      </c>
      <c r="GY22" s="182">
        <v>0</v>
      </c>
      <c r="GZ22" s="200">
        <v>279</v>
      </c>
    </row>
    <row r="23" s="103" customFormat="1" ht="39" customHeight="1" spans="1:208">
      <c r="A23" s="214"/>
      <c r="B23" s="215" t="s">
        <v>38</v>
      </c>
      <c r="C23" s="193">
        <f t="shared" ref="C23:W23" si="24">SUM(C5:C22)</f>
        <v>2579796.95</v>
      </c>
      <c r="D23" s="193">
        <f t="shared" si="24"/>
        <v>1555385.35</v>
      </c>
      <c r="E23" s="193">
        <f t="shared" si="24"/>
        <v>4133038.6</v>
      </c>
      <c r="F23" s="193">
        <f t="shared" si="24"/>
        <v>8348</v>
      </c>
      <c r="G23" s="193">
        <f t="shared" si="24"/>
        <v>11757</v>
      </c>
      <c r="H23" s="193">
        <f t="shared" si="24"/>
        <v>65931</v>
      </c>
      <c r="I23" s="193">
        <f t="shared" si="24"/>
        <v>39218</v>
      </c>
      <c r="J23" s="193">
        <f t="shared" si="24"/>
        <v>19799</v>
      </c>
      <c r="K23" s="193">
        <f t="shared" si="24"/>
        <v>7064</v>
      </c>
      <c r="L23" s="193">
        <f t="shared" si="24"/>
        <v>52257</v>
      </c>
      <c r="M23" s="193">
        <f t="shared" si="24"/>
        <v>6149</v>
      </c>
      <c r="N23" s="193">
        <f t="shared" si="24"/>
        <v>55687</v>
      </c>
      <c r="O23" s="193">
        <f t="shared" si="24"/>
        <v>1591.37065684933</v>
      </c>
      <c r="P23" s="193">
        <f t="shared" si="24"/>
        <v>2575</v>
      </c>
      <c r="Q23" s="193">
        <f t="shared" si="24"/>
        <v>948</v>
      </c>
      <c r="R23" s="193">
        <f t="shared" si="24"/>
        <v>3514</v>
      </c>
      <c r="S23" s="193">
        <f t="shared" si="24"/>
        <v>286</v>
      </c>
      <c r="T23" s="193">
        <f t="shared" si="24"/>
        <v>60</v>
      </c>
      <c r="U23" s="216">
        <f t="shared" si="24"/>
        <v>909</v>
      </c>
      <c r="V23" s="193">
        <f t="shared" si="24"/>
        <v>705</v>
      </c>
      <c r="W23" s="193">
        <f t="shared" si="24"/>
        <v>204</v>
      </c>
      <c r="X23" s="217">
        <f>AVERAGE(X5:X22)</f>
        <v>0.186794444444444</v>
      </c>
      <c r="Y23" s="193">
        <f>SUM(Y5:Y22)</f>
        <v>34</v>
      </c>
      <c r="Z23" s="217">
        <f>AVERAGE(Z5:Z22)</f>
        <v>0.12061636973266</v>
      </c>
      <c r="AA23" s="193">
        <f>SUM(AA5:AA22)</f>
        <v>875</v>
      </c>
      <c r="AB23" s="217">
        <f>AVERAGE(AB5:AB22)</f>
        <v>0.0168785063547408</v>
      </c>
      <c r="AC23" s="191"/>
      <c r="AD23" s="218">
        <f t="shared" ref="Y23:AV23" si="25">SUM(AD5:AD22)</f>
        <v>442370.85</v>
      </c>
      <c r="AE23" s="218">
        <f t="shared" si="25"/>
        <v>249713.79</v>
      </c>
      <c r="AF23" s="218">
        <f t="shared" si="25"/>
        <v>692084.64</v>
      </c>
      <c r="AG23" s="218">
        <f t="shared" si="25"/>
        <v>1247</v>
      </c>
      <c r="AH23" s="218">
        <f t="shared" si="25"/>
        <v>1593</v>
      </c>
      <c r="AI23" s="218">
        <f t="shared" si="25"/>
        <v>10238</v>
      </c>
      <c r="AJ23" s="218">
        <f t="shared" si="25"/>
        <v>6803</v>
      </c>
      <c r="AK23" s="218">
        <f t="shared" si="25"/>
        <v>2121</v>
      </c>
      <c r="AL23" s="218">
        <f t="shared" si="25"/>
        <v>1314</v>
      </c>
      <c r="AM23" s="218">
        <f t="shared" si="25"/>
        <v>7837</v>
      </c>
      <c r="AN23" s="218">
        <f t="shared" si="25"/>
        <v>681</v>
      </c>
      <c r="AO23" s="218">
        <f t="shared" si="25"/>
        <v>8332</v>
      </c>
      <c r="AP23" s="218">
        <f t="shared" si="25"/>
        <v>1640.47162177238</v>
      </c>
      <c r="AQ23" s="218">
        <f t="shared" si="25"/>
        <v>404</v>
      </c>
      <c r="AR23" s="218">
        <f t="shared" si="25"/>
        <v>130</v>
      </c>
      <c r="AS23" s="218">
        <f t="shared" si="25"/>
        <v>534</v>
      </c>
      <c r="AT23" s="218">
        <f t="shared" si="25"/>
        <v>145</v>
      </c>
      <c r="AU23" s="218">
        <f t="shared" si="25"/>
        <v>110</v>
      </c>
      <c r="AV23" s="218">
        <f t="shared" si="25"/>
        <v>35</v>
      </c>
      <c r="AW23" s="219">
        <f t="shared" ref="AW23:BA23" si="26">AVERAGE(AW5:AW22)</f>
        <v>0.12625</v>
      </c>
      <c r="AX23" s="218">
        <f>SUM(AX5:AX22)</f>
        <v>1</v>
      </c>
      <c r="AY23" s="219">
        <f t="shared" si="26"/>
        <v>0.00641534391534394</v>
      </c>
      <c r="AZ23" s="218">
        <f>SUM(AZ5:AZ22)</f>
        <v>144</v>
      </c>
      <c r="BA23" s="219">
        <f t="shared" si="26"/>
        <v>0.0187633455121402</v>
      </c>
      <c r="BB23" s="220"/>
      <c r="BC23" s="218">
        <f t="shared" ref="BC23:BU23" si="27">SUM(BC5:BC22)</f>
        <v>254854.28</v>
      </c>
      <c r="BD23" s="218">
        <f t="shared" si="27"/>
        <v>165858.31</v>
      </c>
      <c r="BE23" s="218">
        <f t="shared" si="27"/>
        <v>428087.59</v>
      </c>
      <c r="BF23" s="218">
        <f t="shared" si="27"/>
        <v>1037</v>
      </c>
      <c r="BG23" s="218">
        <f t="shared" si="27"/>
        <v>1635</v>
      </c>
      <c r="BH23" s="218">
        <f t="shared" si="27"/>
        <v>7195</v>
      </c>
      <c r="BI23" s="218">
        <f t="shared" si="27"/>
        <v>4422</v>
      </c>
      <c r="BJ23" s="218">
        <f t="shared" si="27"/>
        <v>1979</v>
      </c>
      <c r="BK23" s="218">
        <f t="shared" si="27"/>
        <v>794</v>
      </c>
      <c r="BL23" s="218">
        <f t="shared" si="27"/>
        <v>5525</v>
      </c>
      <c r="BM23" s="218">
        <f t="shared" si="27"/>
        <v>805</v>
      </c>
      <c r="BN23" s="218">
        <f t="shared" si="27"/>
        <v>7022</v>
      </c>
      <c r="BO23" s="218">
        <f t="shared" si="27"/>
        <v>1444.2247547168</v>
      </c>
      <c r="BP23" s="218">
        <f t="shared" si="27"/>
        <v>203</v>
      </c>
      <c r="BQ23" s="218">
        <f t="shared" si="27"/>
        <v>87</v>
      </c>
      <c r="BR23" s="218">
        <f t="shared" si="27"/>
        <v>290</v>
      </c>
      <c r="BS23" s="218">
        <f t="shared" si="27"/>
        <v>65</v>
      </c>
      <c r="BT23" s="218">
        <f t="shared" si="27"/>
        <v>50</v>
      </c>
      <c r="BU23" s="218">
        <f t="shared" si="27"/>
        <v>16</v>
      </c>
      <c r="BV23" s="219">
        <f t="shared" ref="BV23:BZ23" si="28">AVERAGE(BV5:BV22)</f>
        <v>0.189333333333333</v>
      </c>
      <c r="BW23" s="218">
        <f t="shared" ref="BW23:CT23" si="29">SUM(BW5:BW22)</f>
        <v>5</v>
      </c>
      <c r="BX23" s="219">
        <f t="shared" si="28"/>
        <v>0.00496557203389831</v>
      </c>
      <c r="BY23" s="218">
        <f t="shared" si="29"/>
        <v>60</v>
      </c>
      <c r="BZ23" s="219">
        <f t="shared" si="28"/>
        <v>0.0128121542624902</v>
      </c>
      <c r="CA23" s="220"/>
      <c r="CB23" s="218">
        <f t="shared" si="29"/>
        <v>432611.9</v>
      </c>
      <c r="CC23" s="218">
        <f t="shared" si="29"/>
        <v>263790.12</v>
      </c>
      <c r="CD23" s="218">
        <f t="shared" si="29"/>
        <v>686883.32</v>
      </c>
      <c r="CE23" s="218">
        <f t="shared" si="29"/>
        <v>1337</v>
      </c>
      <c r="CF23" s="218">
        <f t="shared" si="29"/>
        <v>2089</v>
      </c>
      <c r="CG23" s="218">
        <f t="shared" si="29"/>
        <v>10898</v>
      </c>
      <c r="CH23" s="218">
        <f t="shared" si="29"/>
        <v>6392</v>
      </c>
      <c r="CI23" s="218">
        <f t="shared" si="29"/>
        <v>3513</v>
      </c>
      <c r="CJ23" s="218">
        <f t="shared" si="29"/>
        <v>1082</v>
      </c>
      <c r="CK23" s="218">
        <f t="shared" si="29"/>
        <v>7982</v>
      </c>
      <c r="CL23" s="218">
        <f t="shared" si="29"/>
        <v>1313</v>
      </c>
      <c r="CM23" s="218">
        <f t="shared" si="29"/>
        <v>8740</v>
      </c>
      <c r="CN23" s="218">
        <f t="shared" si="29"/>
        <v>1372.28758542724</v>
      </c>
      <c r="CO23" s="218">
        <f t="shared" si="29"/>
        <v>405</v>
      </c>
      <c r="CP23" s="218">
        <f t="shared" si="29"/>
        <v>168</v>
      </c>
      <c r="CQ23" s="218">
        <f t="shared" si="29"/>
        <v>572</v>
      </c>
      <c r="CR23" s="218">
        <f t="shared" si="29"/>
        <v>158</v>
      </c>
      <c r="CS23" s="218">
        <f t="shared" si="29"/>
        <v>113</v>
      </c>
      <c r="CT23" s="218">
        <f t="shared" si="29"/>
        <v>45</v>
      </c>
      <c r="CU23" s="219">
        <f t="shared" ref="CU23:CY23" si="30">AVERAGE(CU5:CU22)</f>
        <v>0.159176470588235</v>
      </c>
      <c r="CV23" s="218">
        <f t="shared" ref="CV23:DS23" si="31">SUM(CV5:CV22)</f>
        <v>8</v>
      </c>
      <c r="CW23" s="219">
        <f t="shared" si="30"/>
        <v>0.0124705882352941</v>
      </c>
      <c r="CX23" s="218">
        <f t="shared" si="31"/>
        <v>150</v>
      </c>
      <c r="CY23" s="219">
        <f t="shared" si="30"/>
        <v>0.0204327519024333</v>
      </c>
      <c r="CZ23" s="220"/>
      <c r="DA23" s="218">
        <f t="shared" si="31"/>
        <v>429380.8</v>
      </c>
      <c r="DB23" s="218">
        <f t="shared" si="31"/>
        <v>220047.73</v>
      </c>
      <c r="DC23" s="218">
        <f t="shared" si="31"/>
        <v>649428.53</v>
      </c>
      <c r="DD23" s="218">
        <f t="shared" si="31"/>
        <v>1356</v>
      </c>
      <c r="DE23" s="218">
        <f t="shared" si="31"/>
        <v>1801</v>
      </c>
      <c r="DF23" s="218">
        <f t="shared" si="31"/>
        <v>10462</v>
      </c>
      <c r="DG23" s="218">
        <f t="shared" si="31"/>
        <v>7083</v>
      </c>
      <c r="DH23" s="218">
        <f t="shared" si="31"/>
        <v>2542</v>
      </c>
      <c r="DI23" s="218">
        <f t="shared" si="31"/>
        <v>873</v>
      </c>
      <c r="DJ23" s="218">
        <f t="shared" si="31"/>
        <v>9743</v>
      </c>
      <c r="DK23" s="218">
        <f t="shared" si="31"/>
        <v>945</v>
      </c>
      <c r="DL23" s="218">
        <f t="shared" si="31"/>
        <v>9669</v>
      </c>
      <c r="DM23" s="218">
        <f t="shared" si="31"/>
        <v>1199.82948329315</v>
      </c>
      <c r="DN23" s="218">
        <f t="shared" si="31"/>
        <v>515</v>
      </c>
      <c r="DO23" s="218">
        <f t="shared" si="31"/>
        <v>185</v>
      </c>
      <c r="DP23" s="218">
        <f t="shared" si="31"/>
        <v>700</v>
      </c>
      <c r="DQ23" s="218">
        <f t="shared" si="31"/>
        <v>159</v>
      </c>
      <c r="DR23" s="218">
        <f t="shared" si="31"/>
        <v>130</v>
      </c>
      <c r="DS23" s="218">
        <f t="shared" si="31"/>
        <v>28</v>
      </c>
      <c r="DT23" s="219">
        <f t="shared" ref="DT23:DX23" si="32">AVERAGE(DT5:DT22)</f>
        <v>0.0982529411764706</v>
      </c>
      <c r="DU23" s="218">
        <f>SUM(DU5:DU22)</f>
        <v>6</v>
      </c>
      <c r="DV23" s="219">
        <f t="shared" si="32"/>
        <v>0.0472941176470588</v>
      </c>
      <c r="DW23" s="218">
        <f>SUM(DW5:DW22)</f>
        <v>153</v>
      </c>
      <c r="DX23" s="219">
        <f t="shared" si="32"/>
        <v>0.0187433249406083</v>
      </c>
      <c r="DY23" s="220"/>
      <c r="DZ23" s="218">
        <v>473537.27</v>
      </c>
      <c r="EA23" s="218">
        <v>265346.29</v>
      </c>
      <c r="EB23" s="218">
        <v>738883.56</v>
      </c>
      <c r="EC23" s="218">
        <v>1441</v>
      </c>
      <c r="ED23" s="218">
        <v>1856</v>
      </c>
      <c r="EE23" s="218">
        <v>11886</v>
      </c>
      <c r="EF23" s="218">
        <v>6610</v>
      </c>
      <c r="EG23" s="218">
        <v>4170</v>
      </c>
      <c r="EH23" s="218">
        <v>1128</v>
      </c>
      <c r="EI23" s="218">
        <v>9570</v>
      </c>
      <c r="EJ23" s="218">
        <v>997</v>
      </c>
      <c r="EK23" s="218">
        <v>9888</v>
      </c>
      <c r="EL23" s="221">
        <v>74.7252791262136</v>
      </c>
      <c r="EM23" s="218">
        <v>451</v>
      </c>
      <c r="EN23" s="218">
        <v>169</v>
      </c>
      <c r="EO23" s="218">
        <v>612</v>
      </c>
      <c r="EP23" s="218">
        <v>166</v>
      </c>
      <c r="EQ23" s="218">
        <v>132</v>
      </c>
      <c r="ER23" s="218">
        <v>34</v>
      </c>
      <c r="ES23" s="219">
        <v>0.134505555555556</v>
      </c>
      <c r="ET23" s="218">
        <v>7</v>
      </c>
      <c r="EU23" s="219">
        <v>0.0323888888888889</v>
      </c>
      <c r="EV23" s="218">
        <v>159</v>
      </c>
      <c r="EW23" s="219">
        <v>0.0183052189179346</v>
      </c>
      <c r="EX23" s="220"/>
      <c r="EY23" s="177">
        <v>83196.13</v>
      </c>
      <c r="EZ23" s="177">
        <v>53846</v>
      </c>
      <c r="FA23" s="177">
        <v>137042.13</v>
      </c>
      <c r="FB23" s="177">
        <v>321</v>
      </c>
      <c r="FC23" s="177">
        <v>467</v>
      </c>
      <c r="FD23" s="177">
        <v>2311</v>
      </c>
      <c r="FE23" s="177">
        <v>1375</v>
      </c>
      <c r="FF23" s="177">
        <v>728</v>
      </c>
      <c r="FG23" s="177">
        <v>208</v>
      </c>
      <c r="FH23" s="177">
        <v>1907</v>
      </c>
      <c r="FI23" s="177">
        <v>211</v>
      </c>
      <c r="FJ23" s="177">
        <v>1866</v>
      </c>
      <c r="FK23" s="176">
        <v>73.441655948553</v>
      </c>
      <c r="FL23" s="177">
        <v>67</v>
      </c>
      <c r="FM23" s="177">
        <v>25</v>
      </c>
      <c r="FN23" s="177">
        <v>92</v>
      </c>
      <c r="FO23" s="177">
        <f>SUM(FO5:FO22)</f>
        <v>881</v>
      </c>
      <c r="FP23" s="177">
        <f>SUM(FP5:FP22)</f>
        <v>217</v>
      </c>
      <c r="FQ23" s="222">
        <v>27</v>
      </c>
      <c r="FR23" s="177">
        <v>24</v>
      </c>
      <c r="FS23" s="177">
        <v>3</v>
      </c>
      <c r="FT23" s="223">
        <v>0.135277777777778</v>
      </c>
      <c r="FU23" s="177">
        <v>2</v>
      </c>
      <c r="FV23" s="223">
        <v>0.00411111111111111</v>
      </c>
      <c r="FW23" s="177">
        <v>25</v>
      </c>
      <c r="FX23" s="223">
        <v>0.0122556529078334</v>
      </c>
      <c r="FY23" s="175"/>
      <c r="FZ23" s="177">
        <v>167676.93</v>
      </c>
      <c r="GA23" s="177">
        <v>99537.57</v>
      </c>
      <c r="GB23" s="177">
        <v>267214.5</v>
      </c>
      <c r="GC23" s="177">
        <v>525</v>
      </c>
      <c r="GD23" s="177">
        <v>666</v>
      </c>
      <c r="GE23" s="177">
        <v>4211</v>
      </c>
      <c r="GF23" s="177">
        <v>2251</v>
      </c>
      <c r="GG23" s="177">
        <v>1329</v>
      </c>
      <c r="GH23" s="177">
        <v>631</v>
      </c>
      <c r="GI23" s="177">
        <v>3009</v>
      </c>
      <c r="GJ23" s="177">
        <v>363</v>
      </c>
      <c r="GK23" s="177">
        <v>3237</v>
      </c>
      <c r="GL23" s="176">
        <v>82.550046339203</v>
      </c>
      <c r="GM23" s="177">
        <v>140</v>
      </c>
      <c r="GN23" s="177">
        <v>50</v>
      </c>
      <c r="GO23" s="177">
        <v>190</v>
      </c>
      <c r="GP23" s="177">
        <v>283</v>
      </c>
      <c r="GQ23" s="177">
        <v>60</v>
      </c>
      <c r="GR23" s="222">
        <v>55</v>
      </c>
      <c r="GS23" s="177">
        <v>44</v>
      </c>
      <c r="GT23" s="177">
        <v>11</v>
      </c>
      <c r="GU23" s="223">
        <v>0.186794444444444</v>
      </c>
      <c r="GV23" s="177">
        <v>2</v>
      </c>
      <c r="GW23" s="223">
        <v>0.00694444444444444</v>
      </c>
      <c r="GX23" s="177">
        <v>53</v>
      </c>
      <c r="GY23" s="223">
        <v>0.013837901690119</v>
      </c>
      <c r="GZ23" s="175"/>
    </row>
    <row r="24" spans="1:208">
      <c r="X24" s="224"/>
      <c r="AD24" s="225"/>
      <c r="AE24" s="226"/>
      <c r="AF24" s="227"/>
      <c r="AG24" s="226"/>
      <c r="AH24" s="226"/>
      <c r="AI24" s="226"/>
      <c r="AJ24" s="226"/>
      <c r="AK24" s="226"/>
      <c r="AL24" s="226"/>
      <c r="AM24" s="226"/>
      <c r="AN24" s="226"/>
      <c r="AO24" s="226"/>
      <c r="AP24" s="228"/>
      <c r="AQ24" s="226"/>
      <c r="AR24" s="226"/>
      <c r="AS24" s="226"/>
      <c r="AT24" s="226"/>
      <c r="AU24" s="226"/>
      <c r="AV24" s="226"/>
      <c r="AW24" s="229"/>
      <c r="AX24" s="226"/>
      <c r="AY24" s="229"/>
      <c r="AZ24" s="226"/>
      <c r="BA24" s="229"/>
      <c r="BB24" s="226"/>
      <c r="BC24" s="230"/>
      <c r="BD24" s="230"/>
      <c r="BE24" s="230"/>
      <c r="BF24" s="230"/>
      <c r="BG24" s="230"/>
      <c r="BH24" s="230"/>
      <c r="BI24" s="230"/>
      <c r="BJ24" s="230"/>
      <c r="BK24" s="230"/>
      <c r="BL24" s="230"/>
      <c r="BM24" s="230"/>
      <c r="BN24" s="230"/>
      <c r="BO24" s="230"/>
      <c r="BP24" s="230"/>
      <c r="BQ24" s="230"/>
      <c r="BR24" s="230"/>
      <c r="BS24" s="230"/>
      <c r="BT24" s="230"/>
      <c r="BU24" s="230"/>
      <c r="BV24" s="224"/>
      <c r="BW24" s="230"/>
      <c r="BX24" s="224"/>
      <c r="BY24" s="230"/>
      <c r="BZ24" s="224"/>
      <c r="CA24" s="230"/>
    </row>
    <row r="25" spans="1:208">
      <c r="X25" s="224"/>
      <c r="AD25" s="226"/>
      <c r="AE25" s="226"/>
      <c r="AF25" s="227"/>
      <c r="AG25" s="226"/>
      <c r="AH25" s="226"/>
      <c r="AI25" s="226"/>
      <c r="AJ25" s="226"/>
      <c r="AK25" s="226"/>
      <c r="AL25" s="226"/>
      <c r="AM25" s="226"/>
      <c r="AN25" s="226"/>
      <c r="AO25" s="226"/>
      <c r="AP25" s="228"/>
      <c r="AQ25" s="226"/>
      <c r="AR25" s="226"/>
      <c r="AS25" s="226"/>
      <c r="AT25" s="226"/>
      <c r="AU25" s="226"/>
      <c r="AV25" s="226"/>
      <c r="AW25" s="224"/>
      <c r="AX25" s="226"/>
      <c r="AY25" s="229"/>
      <c r="AZ25" s="226"/>
      <c r="BA25" s="229"/>
      <c r="BB25" s="226"/>
      <c r="BC25" s="230"/>
      <c r="BD25" s="230"/>
      <c r="BE25" s="230"/>
      <c r="BF25" s="230"/>
      <c r="BG25" s="230"/>
      <c r="BH25" s="230"/>
      <c r="BI25" s="230"/>
      <c r="BJ25" s="230"/>
      <c r="BK25" s="230"/>
      <c r="BL25" s="230"/>
      <c r="BM25" s="230"/>
      <c r="BN25" s="230"/>
      <c r="BO25" s="230"/>
      <c r="BP25" s="230"/>
      <c r="BQ25" s="230"/>
      <c r="BR25" s="230"/>
      <c r="BS25" s="230"/>
      <c r="BT25" s="230"/>
      <c r="BU25" s="230"/>
      <c r="BV25" s="224"/>
      <c r="BW25" s="230"/>
      <c r="BX25" s="224"/>
      <c r="BY25" s="230"/>
      <c r="BZ25" s="230"/>
      <c r="CA25" s="230"/>
    </row>
    <row r="26" spans="1:208">
      <c r="X26" s="224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24"/>
      <c r="AX26" s="230"/>
      <c r="AY26" s="224"/>
      <c r="AZ26" s="230"/>
      <c r="BA26" s="224"/>
      <c r="BB26" s="230"/>
      <c r="BC26" s="230"/>
      <c r="BD26" s="230"/>
      <c r="BE26" s="230"/>
      <c r="BF26" s="230"/>
      <c r="BG26" s="230"/>
      <c r="BH26" s="230"/>
      <c r="BI26" s="230"/>
      <c r="BJ26" s="230"/>
      <c r="BK26" s="230"/>
      <c r="BL26" s="230"/>
      <c r="BM26" s="230"/>
      <c r="BN26" s="230"/>
      <c r="BO26" s="230"/>
      <c r="BP26" s="230"/>
      <c r="BQ26" s="230"/>
      <c r="BR26" s="230"/>
      <c r="BS26" s="230"/>
      <c r="BT26" s="230"/>
      <c r="BU26" s="230"/>
      <c r="BV26" s="224"/>
      <c r="BW26" s="230"/>
      <c r="BX26" s="224"/>
      <c r="BY26" s="230"/>
      <c r="BZ26" s="224"/>
      <c r="CA26" s="230"/>
    </row>
    <row r="27" spans="1:208">
      <c r="X27" s="224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24"/>
      <c r="AX27" s="230"/>
      <c r="AY27" s="224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0"/>
      <c r="BK27" s="230"/>
      <c r="BL27" s="230"/>
      <c r="BM27" s="230"/>
      <c r="BN27" s="230"/>
      <c r="BO27" s="230"/>
      <c r="BP27" s="230"/>
      <c r="BQ27" s="230"/>
      <c r="BR27" s="230"/>
      <c r="BS27" s="230"/>
      <c r="BT27" s="230"/>
      <c r="BU27" s="230"/>
      <c r="BV27" s="224"/>
      <c r="BW27" s="230"/>
      <c r="BX27" s="224"/>
      <c r="BY27" s="230"/>
      <c r="BZ27" s="230"/>
      <c r="CA27" s="230"/>
    </row>
    <row r="28" spans="1:208">
      <c r="X28" s="224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24"/>
      <c r="AX28" s="230"/>
      <c r="AY28" s="224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0"/>
      <c r="BK28" s="230"/>
      <c r="BL28" s="230"/>
      <c r="BM28" s="230"/>
      <c r="BN28" s="230"/>
      <c r="BO28" s="230"/>
      <c r="BP28" s="230"/>
      <c r="BQ28" s="230"/>
      <c r="BR28" s="230"/>
      <c r="BS28" s="230"/>
      <c r="BT28" s="230"/>
      <c r="BU28" s="230"/>
      <c r="BV28" s="224"/>
      <c r="BW28" s="230"/>
      <c r="BX28" s="224"/>
      <c r="BY28" s="230"/>
      <c r="BZ28" s="230"/>
      <c r="CA28" s="230"/>
    </row>
    <row r="29" spans="1:208">
      <c r="X29" s="224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24"/>
      <c r="AX29" s="230"/>
      <c r="AY29" s="224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0"/>
      <c r="BK29" s="230"/>
      <c r="BL29" s="230"/>
      <c r="BM29" s="230"/>
      <c r="BN29" s="230"/>
      <c r="BO29" s="230"/>
      <c r="BP29" s="230"/>
      <c r="BQ29" s="230"/>
      <c r="BR29" s="230"/>
      <c r="BS29" s="230"/>
      <c r="BT29" s="230"/>
      <c r="BU29" s="230"/>
      <c r="BV29" s="224"/>
      <c r="BW29" s="230"/>
      <c r="BX29" s="224"/>
      <c r="BY29" s="230"/>
      <c r="BZ29" s="230"/>
      <c r="CA29" s="230"/>
    </row>
    <row r="30" spans="1:208">
      <c r="X30" s="224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24"/>
      <c r="AX30" s="230"/>
      <c r="AY30" s="224"/>
      <c r="AZ30" s="230"/>
      <c r="BA30" s="224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24"/>
      <c r="BW30" s="230"/>
      <c r="BX30" s="224"/>
      <c r="BY30" s="230"/>
      <c r="BZ30" s="224"/>
      <c r="CA30" s="230"/>
    </row>
    <row r="31" spans="1:208">
      <c r="X31" s="224"/>
    </row>
  </sheetData>
  <mergeCells count="75">
    <mergeCell ref="A1:AC1"/>
    <mergeCell ref="EY1:FY1"/>
    <mergeCell ref="FZ1:GZ1"/>
    <mergeCell ref="C2:AC2"/>
    <mergeCell ref="AD2:BB2"/>
    <mergeCell ref="BC2:CA2"/>
    <mergeCell ref="CB2:CZ2"/>
    <mergeCell ref="DA2:DY2"/>
    <mergeCell ref="DZ2:EX2"/>
    <mergeCell ref="EY2:FY2"/>
    <mergeCell ref="FZ2:GZ2"/>
    <mergeCell ref="C3:E3"/>
    <mergeCell ref="H3:O3"/>
    <mergeCell ref="P3:R3"/>
    <mergeCell ref="U3:AB3"/>
    <mergeCell ref="AD3:AF3"/>
    <mergeCell ref="AI3:AP3"/>
    <mergeCell ref="AQ3:AS3"/>
    <mergeCell ref="AT3:BA3"/>
    <mergeCell ref="BC3:BE3"/>
    <mergeCell ref="BH3:BO3"/>
    <mergeCell ref="BP3:BR3"/>
    <mergeCell ref="BS3:BZ3"/>
    <mergeCell ref="CB3:CD3"/>
    <mergeCell ref="CG3:CN3"/>
    <mergeCell ref="CO3:CQ3"/>
    <mergeCell ref="CR3:CY3"/>
    <mergeCell ref="DA3:DC3"/>
    <mergeCell ref="DF3:DM3"/>
    <mergeCell ref="DN3:DP3"/>
    <mergeCell ref="DQ3:DX3"/>
    <mergeCell ref="DZ3:EB3"/>
    <mergeCell ref="EE3:EL3"/>
    <mergeCell ref="EM3:EO3"/>
    <mergeCell ref="EP3:EW3"/>
    <mergeCell ref="EY3:FA3"/>
    <mergeCell ref="FD3:FK3"/>
    <mergeCell ref="FL3:FN3"/>
    <mergeCell ref="FQ3:FX3"/>
    <mergeCell ref="FZ3:GB3"/>
    <mergeCell ref="GE3:GL3"/>
    <mergeCell ref="GM3:GO3"/>
    <mergeCell ref="GR3:GY3"/>
    <mergeCell ref="A2:A4"/>
    <mergeCell ref="B2:B4"/>
    <mergeCell ref="F3:F4"/>
    <mergeCell ref="G3:G4"/>
    <mergeCell ref="S3:S4"/>
    <mergeCell ref="T3:T4"/>
    <mergeCell ref="AC3:AC4"/>
    <mergeCell ref="AG3:AG4"/>
    <mergeCell ref="AH3:AH4"/>
    <mergeCell ref="BB3:BB4"/>
    <mergeCell ref="BF3:BF4"/>
    <mergeCell ref="BG3:BG4"/>
    <mergeCell ref="CA3:CA4"/>
    <mergeCell ref="CE3:CE4"/>
    <mergeCell ref="CF3:CF4"/>
    <mergeCell ref="CZ3:CZ4"/>
    <mergeCell ref="DD3:DD4"/>
    <mergeCell ref="DE3:DE4"/>
    <mergeCell ref="DY3:DY4"/>
    <mergeCell ref="EC3:EC4"/>
    <mergeCell ref="ED3:ED4"/>
    <mergeCell ref="EX3:EX4"/>
    <mergeCell ref="FB3:FB4"/>
    <mergeCell ref="FC3:FC4"/>
    <mergeCell ref="FO3:FO4"/>
    <mergeCell ref="FP3:FP4"/>
    <mergeCell ref="FY3:FY4"/>
    <mergeCell ref="GC3:GC4"/>
    <mergeCell ref="GD3:GD4"/>
    <mergeCell ref="GP3:GP4"/>
    <mergeCell ref="GQ3:GQ4"/>
    <mergeCell ref="GZ3:GZ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6"/>
  <sheetViews>
    <sheetView zoomScale="65" zoomScaleNormal="65" topLeftCell="B49" workbookViewId="0">
      <selection activeCell="F44" sqref="F44"/>
    </sheetView>
  </sheetViews>
  <sheetFormatPr defaultColWidth="8.83333333333333" defaultRowHeight="16.5"/>
  <cols>
    <col min="1" max="1" width="18.3333333333333" style="78" hidden="1" customWidth="1"/>
    <col min="2" max="2" width="10" style="79" customWidth="1"/>
    <col min="3" max="3" width="30.1666666666667" style="79" customWidth="1"/>
    <col min="4" max="4" width="14.8333333333333" style="79"/>
    <col min="5" max="5" width="16.1666666666667" style="78"/>
    <col min="6" max="6" width="12.35" style="78" customWidth="1"/>
    <col min="7" max="8" width="12.775" style="78" customWidth="1"/>
    <col min="9" max="9" width="8.83333333333333" style="80"/>
    <col min="10" max="16384" width="8.83333333333333" style="78"/>
  </cols>
  <sheetData>
    <row r="1" ht="16.25" customHeight="1" spans="1:9">
      <c r="A1" s="81"/>
    </row>
    <row r="2" ht="34.75" customHeight="1" spans="1:9">
      <c r="A2" s="81"/>
      <c r="C2" s="42" t="s">
        <v>40</v>
      </c>
      <c r="D2"/>
      <c r="E2"/>
      <c r="F2"/>
      <c r="G2"/>
      <c r="H2"/>
    </row>
    <row r="3" s="77" customFormat="1" ht="22" customHeight="1" spans="1:9">
      <c r="B3" s="82"/>
      <c r="C3"/>
      <c r="D3" s="43" t="s">
        <v>108</v>
      </c>
      <c r="E3" s="44" t="s">
        <v>109</v>
      </c>
      <c r="F3" s="44" t="s">
        <v>110</v>
      </c>
      <c r="G3" s="44"/>
      <c r="H3" s="44"/>
      <c r="I3" s="83" t="s">
        <v>38</v>
      </c>
    </row>
    <row r="4" s="77" customFormat="1" ht="22" customHeight="1" spans="1:9">
      <c r="A4" s="84"/>
      <c r="B4" s="85">
        <v>5</v>
      </c>
      <c r="C4" s="46" t="s">
        <v>20</v>
      </c>
      <c r="D4">
        <f>'总表-数据收集'!AI5</f>
        <v>3099</v>
      </c>
      <c r="E4">
        <f>'总表-数据收集'!BH5</f>
        <v>1529</v>
      </c>
      <c r="F4">
        <f>'总表-数据收集'!CG5</f>
        <v>1277</v>
      </c>
      <c r="G4">
        <f>'总表-数据收集'!DF5</f>
        <v>731</v>
      </c>
      <c r="H4">
        <f>'总表-数据收集'!EE5</f>
        <v>1126</v>
      </c>
      <c r="I4" s="83">
        <f>SUM(D4:H4)</f>
        <v>7762</v>
      </c>
    </row>
    <row r="5" s="77" customFormat="1" ht="22" customHeight="1" spans="1:9">
      <c r="A5" s="86" t="s">
        <v>55</v>
      </c>
      <c r="B5" s="85">
        <v>6</v>
      </c>
      <c r="C5" s="47" t="s">
        <v>21</v>
      </c>
      <c r="D5">
        <f>'总表-数据收集'!AI6</f>
        <v>869</v>
      </c>
      <c r="E5">
        <f>'总表-数据收集'!BH6</f>
        <v>495</v>
      </c>
      <c r="F5">
        <f>'总表-数据收集'!CG6</f>
        <v>1446</v>
      </c>
      <c r="G5">
        <f>'总表-数据收集'!DF6</f>
        <v>1054</v>
      </c>
      <c r="H5">
        <f>'总表-数据收集'!EE6</f>
        <v>1412</v>
      </c>
      <c r="I5" s="83">
        <f t="shared" ref="I5:I21" si="0">SUM(D5:H5)</f>
        <v>5276</v>
      </c>
    </row>
    <row r="6" s="77" customFormat="1" ht="22" customHeight="1" spans="1:9">
      <c r="A6" s="87"/>
      <c r="B6" s="85">
        <v>7</v>
      </c>
      <c r="C6" s="48" t="s">
        <v>22</v>
      </c>
      <c r="D6">
        <f>'总表-数据收集'!AI7</f>
        <v>1160</v>
      </c>
      <c r="E6">
        <f>'总表-数据收集'!BH7</f>
        <v>681</v>
      </c>
      <c r="F6">
        <f>'总表-数据收集'!CG7</f>
        <v>902</v>
      </c>
      <c r="G6">
        <f>'总表-数据收集'!DF7</f>
        <v>1112</v>
      </c>
      <c r="H6">
        <f>'总表-数据收集'!EE7</f>
        <v>1084</v>
      </c>
      <c r="I6" s="83">
        <f t="shared" si="0"/>
        <v>4939</v>
      </c>
    </row>
    <row r="7" s="77" customFormat="1" ht="22" customHeight="1" spans="1:9">
      <c r="A7" s="87"/>
      <c r="B7" s="85">
        <v>8</v>
      </c>
      <c r="C7" s="47" t="s">
        <v>23</v>
      </c>
      <c r="D7">
        <f>'总表-数据收集'!AI8</f>
        <v>579</v>
      </c>
      <c r="E7">
        <f>'总表-数据收集'!BH8</f>
        <v>302</v>
      </c>
      <c r="F7">
        <f>'总表-数据收集'!CG8</f>
        <v>870</v>
      </c>
      <c r="G7">
        <f>'总表-数据收集'!DF8</f>
        <v>557</v>
      </c>
      <c r="H7">
        <f>'总表-数据收集'!EE8</f>
        <v>682</v>
      </c>
      <c r="I7" s="83">
        <f t="shared" si="0"/>
        <v>2990</v>
      </c>
    </row>
    <row r="8" s="77" customFormat="1" ht="22" customHeight="1" spans="1:9">
      <c r="A8" s="87"/>
      <c r="B8" s="85">
        <v>9</v>
      </c>
      <c r="C8" s="49" t="s">
        <v>24</v>
      </c>
      <c r="D8">
        <f>'总表-数据收集'!AI9</f>
        <v>68</v>
      </c>
      <c r="E8">
        <f>'总表-数据收集'!BH9</f>
        <v>369</v>
      </c>
      <c r="F8">
        <f>'总表-数据收集'!CG9</f>
        <v>345</v>
      </c>
      <c r="G8">
        <f>'总表-数据收集'!DF9</f>
        <v>384</v>
      </c>
      <c r="H8">
        <f>'总表-数据收集'!EE9</f>
        <v>408</v>
      </c>
      <c r="I8" s="83">
        <f t="shared" si="0"/>
        <v>1574</v>
      </c>
    </row>
    <row r="9" s="77" customFormat="1" ht="22" customHeight="1" spans="1:9">
      <c r="A9" s="87"/>
      <c r="B9" s="85">
        <v>10</v>
      </c>
      <c r="C9" s="50" t="s">
        <v>25</v>
      </c>
      <c r="D9">
        <f>'总表-数据收集'!AI10</f>
        <v>683</v>
      </c>
      <c r="E9">
        <f>'总表-数据收集'!BH10</f>
        <v>765</v>
      </c>
      <c r="F9">
        <f>'总表-数据收集'!CG10</f>
        <v>867</v>
      </c>
      <c r="G9">
        <f>'总表-数据收集'!DF10</f>
        <v>593</v>
      </c>
      <c r="H9">
        <f>'总表-数据收集'!EE10</f>
        <v>525</v>
      </c>
      <c r="I9" s="83">
        <f t="shared" si="0"/>
        <v>3433</v>
      </c>
    </row>
    <row r="10" s="77" customFormat="1" ht="22" customHeight="1" spans="1:9">
      <c r="A10" s="87"/>
      <c r="B10" s="85">
        <v>11</v>
      </c>
      <c r="C10" s="49" t="s">
        <v>26</v>
      </c>
      <c r="D10">
        <f>'总表-数据收集'!AI11</f>
        <v>502</v>
      </c>
      <c r="E10">
        <f>'总表-数据收集'!BH11</f>
        <v>181</v>
      </c>
      <c r="F10">
        <f>'总表-数据收集'!CG11</f>
        <v>394</v>
      </c>
      <c r="G10">
        <f>'总表-数据收集'!DF11</f>
        <v>316</v>
      </c>
      <c r="H10">
        <f>'总表-数据收集'!EE11</f>
        <v>375</v>
      </c>
      <c r="I10" s="83">
        <f t="shared" si="0"/>
        <v>1768</v>
      </c>
    </row>
    <row r="11" s="77" customFormat="1" ht="22" customHeight="1" spans="1:9">
      <c r="B11" s="85">
        <v>12</v>
      </c>
      <c r="C11" s="51" t="s">
        <v>27</v>
      </c>
      <c r="D11">
        <f>'总表-数据收集'!AI12</f>
        <v>0</v>
      </c>
      <c r="E11">
        <f>'总表-数据收集'!BH12</f>
        <v>0</v>
      </c>
      <c r="F11">
        <f>'总表-数据收集'!CG12</f>
        <v>461</v>
      </c>
      <c r="G11">
        <f>'总表-数据收集'!DF12</f>
        <v>497</v>
      </c>
      <c r="H11">
        <f>'总表-数据收集'!EE12</f>
        <v>537</v>
      </c>
      <c r="I11" s="83">
        <f t="shared" si="0"/>
        <v>1495</v>
      </c>
    </row>
    <row r="12" s="77" customFormat="1" ht="22" customHeight="1" spans="1:9">
      <c r="B12" s="85">
        <v>13</v>
      </c>
      <c r="C12" s="49" t="s">
        <v>28</v>
      </c>
      <c r="D12">
        <f>'总表-数据收集'!AI13</f>
        <v>343</v>
      </c>
      <c r="E12">
        <f>'总表-数据收集'!BH13</f>
        <v>351</v>
      </c>
      <c r="F12">
        <f>'总表-数据收集'!CG13</f>
        <v>471</v>
      </c>
      <c r="G12">
        <f>'总表-数据收集'!DF13</f>
        <v>324</v>
      </c>
      <c r="H12">
        <f>'总表-数据收集'!EE13</f>
        <v>210</v>
      </c>
      <c r="I12" s="83">
        <f t="shared" si="0"/>
        <v>1699</v>
      </c>
    </row>
    <row r="13" s="77" customFormat="1" ht="22" customHeight="1" spans="1:9">
      <c r="B13" s="85">
        <v>14</v>
      </c>
      <c r="C13" s="52" t="s">
        <v>29</v>
      </c>
      <c r="D13">
        <f>'总表-数据收集'!AI14</f>
        <v>467</v>
      </c>
      <c r="E13">
        <f>'总表-数据收集'!BH14</f>
        <v>671</v>
      </c>
      <c r="F13">
        <f>'总表-数据收集'!CG14</f>
        <v>1074</v>
      </c>
      <c r="G13">
        <f>'总表-数据收集'!DF14</f>
        <v>840</v>
      </c>
      <c r="H13">
        <f>'总表-数据收集'!EE14</f>
        <v>1537</v>
      </c>
      <c r="I13" s="83">
        <f t="shared" si="0"/>
        <v>4589</v>
      </c>
    </row>
    <row r="14" s="77" customFormat="1" ht="22" customHeight="1" spans="1:9">
      <c r="B14" s="85">
        <v>15</v>
      </c>
      <c r="C14" s="49" t="s">
        <v>30</v>
      </c>
      <c r="D14">
        <f>'总表-数据收集'!AI15</f>
        <v>593</v>
      </c>
      <c r="E14">
        <f>'总表-数据收集'!BH15</f>
        <v>461</v>
      </c>
      <c r="F14">
        <f>'总表-数据收集'!CG15</f>
        <v>1200</v>
      </c>
      <c r="G14">
        <f>'总表-数据收集'!DF15</f>
        <v>1337</v>
      </c>
      <c r="H14">
        <f>'总表-数据收集'!EE15</f>
        <v>1860</v>
      </c>
      <c r="I14" s="83">
        <f t="shared" si="0"/>
        <v>5451</v>
      </c>
    </row>
    <row r="15" s="77" customFormat="1" ht="22" customHeight="1" spans="1:9">
      <c r="A15" s="88"/>
      <c r="B15" s="85">
        <v>16</v>
      </c>
      <c r="C15" s="52" t="s">
        <v>31</v>
      </c>
      <c r="D15">
        <f>'总表-数据收集'!AI16</f>
        <v>319</v>
      </c>
      <c r="E15">
        <f>'总表-数据收集'!BH16</f>
        <v>282</v>
      </c>
      <c r="F15">
        <f>'总表-数据收集'!CG16</f>
        <v>338</v>
      </c>
      <c r="G15">
        <f>'总表-数据收集'!DF16</f>
        <v>365</v>
      </c>
      <c r="H15">
        <f>'总表-数据收集'!EE16</f>
        <v>569</v>
      </c>
      <c r="I15" s="83">
        <f t="shared" si="0"/>
        <v>1873</v>
      </c>
    </row>
    <row r="16" s="77" customFormat="1" ht="22" customHeight="1" spans="1:9">
      <c r="A16" s="86" t="s">
        <v>55</v>
      </c>
      <c r="B16" s="85">
        <v>17</v>
      </c>
      <c r="C16" s="49" t="s">
        <v>32</v>
      </c>
      <c r="D16">
        <f>'总表-数据收集'!AI17</f>
        <v>539</v>
      </c>
      <c r="E16">
        <f>'总表-数据收集'!BH17</f>
        <v>525</v>
      </c>
      <c r="F16">
        <f>'总表-数据收集'!CG17</f>
        <v>331</v>
      </c>
      <c r="G16">
        <f>'总表-数据收集'!DF17</f>
        <v>719</v>
      </c>
      <c r="H16">
        <f>'总表-数据收集'!EE17</f>
        <v>431</v>
      </c>
      <c r="I16" s="83">
        <f t="shared" si="0"/>
        <v>2545</v>
      </c>
    </row>
    <row r="17" s="77" customFormat="1" ht="22" customHeight="1" spans="1:9">
      <c r="A17" s="89"/>
      <c r="B17" s="85">
        <v>18</v>
      </c>
      <c r="C17" s="52" t="s">
        <v>33</v>
      </c>
      <c r="D17">
        <f>'总表-数据收集'!AI18</f>
        <v>260</v>
      </c>
      <c r="E17">
        <f>'总表-数据收集'!BH18</f>
        <v>212</v>
      </c>
      <c r="F17">
        <f>'总表-数据收集'!CG18</f>
        <v>225</v>
      </c>
      <c r="G17">
        <f>'总表-数据收集'!DF18</f>
        <v>220</v>
      </c>
      <c r="H17">
        <f>'总表-数据收集'!EE18</f>
        <v>380</v>
      </c>
      <c r="I17" s="83">
        <f t="shared" si="0"/>
        <v>1297</v>
      </c>
    </row>
    <row r="18" s="77" customFormat="1" ht="22" customHeight="1" spans="1:9">
      <c r="A18" s="89"/>
      <c r="B18" s="85">
        <v>19</v>
      </c>
      <c r="C18" s="49" t="s">
        <v>34</v>
      </c>
      <c r="D18">
        <f>'总表-数据收集'!AI19</f>
        <v>19</v>
      </c>
      <c r="E18">
        <f>'总表-数据收集'!BH19</f>
        <v>2</v>
      </c>
      <c r="F18">
        <f>'总表-数据收集'!CG19</f>
        <v>22</v>
      </c>
      <c r="G18">
        <f>'总表-数据收集'!DF19</f>
        <v>74</v>
      </c>
      <c r="H18">
        <f>'总表-数据收集'!EE19</f>
        <v>84</v>
      </c>
      <c r="I18" s="83">
        <f t="shared" si="0"/>
        <v>201</v>
      </c>
    </row>
    <row r="19" s="77" customFormat="1" ht="22" customHeight="1" spans="1:9">
      <c r="A19" s="89"/>
      <c r="B19" s="85">
        <v>20</v>
      </c>
      <c r="C19" s="47" t="s">
        <v>35</v>
      </c>
      <c r="D19">
        <f>'总表-数据收集'!AI20</f>
        <v>550</v>
      </c>
      <c r="E19">
        <f>'总表-数据收集'!BH20</f>
        <v>285</v>
      </c>
      <c r="F19">
        <f>'总表-数据收集'!CG20</f>
        <v>393</v>
      </c>
      <c r="G19">
        <f>'总表-数据收集'!DF20</f>
        <v>941</v>
      </c>
      <c r="H19">
        <f>'总表-数据收集'!EE20</f>
        <v>339</v>
      </c>
      <c r="I19" s="83">
        <f t="shared" si="0"/>
        <v>2508</v>
      </c>
    </row>
    <row r="20" s="77" customFormat="1" ht="22" customHeight="1" spans="1:9">
      <c r="A20" s="89"/>
      <c r="B20" s="85">
        <v>21</v>
      </c>
      <c r="C20" s="54" t="s">
        <v>36</v>
      </c>
      <c r="D20">
        <f>'总表-数据收集'!AI21</f>
        <v>188</v>
      </c>
      <c r="E20">
        <f>'总表-数据收集'!BH21</f>
        <v>84</v>
      </c>
      <c r="F20">
        <f>'总表-数据收集'!CG21</f>
        <v>282</v>
      </c>
      <c r="G20">
        <f>'总表-数据收集'!DF21</f>
        <v>398</v>
      </c>
      <c r="H20">
        <f>'总表-数据收集'!EE21</f>
        <v>263</v>
      </c>
      <c r="I20" s="83">
        <f t="shared" si="0"/>
        <v>1215</v>
      </c>
    </row>
    <row r="21" s="77" customFormat="1" ht="22" customHeight="1" spans="1:9">
      <c r="A21" s="89"/>
      <c r="B21" s="82">
        <v>22</v>
      </c>
      <c r="C21" s="53" t="s">
        <v>37</v>
      </c>
      <c r="D21">
        <f>'总表-数据收集'!AI22</f>
        <v>0</v>
      </c>
      <c r="E21">
        <f>'总表-数据收集'!BH22</f>
        <v>0</v>
      </c>
      <c r="F21">
        <f>'总表-数据收集'!CG22</f>
        <v>0</v>
      </c>
      <c r="G21">
        <f>'总表-数据收集'!DF22</f>
        <v>0</v>
      </c>
      <c r="H21">
        <f>'总表-数据收集'!EE22</f>
        <v>64</v>
      </c>
      <c r="I21" s="83">
        <f t="shared" si="0"/>
        <v>64</v>
      </c>
    </row>
    <row r="22" s="77" customFormat="1" ht="22" customHeight="1" spans="1:9">
      <c r="A22" s="89"/>
      <c r="B22" s="82"/>
      <c r="C22" s="53"/>
      <c r="D22">
        <f>SUM(D4:D21)</f>
        <v>10238</v>
      </c>
      <c r="E22">
        <f>SUM(E4:E21)</f>
        <v>7195</v>
      </c>
      <c r="F22">
        <f>SUM(F4:F21)</f>
        <v>10898</v>
      </c>
      <c r="G22"/>
      <c r="H22"/>
      <c r="I22" s="83"/>
    </row>
    <row r="23" s="77" customFormat="1" ht="22" customHeight="1" spans="1:9">
      <c r="A23" s="90"/>
      <c r="B23" s="91"/>
      <c r="C23" s="42" t="s">
        <v>63</v>
      </c>
      <c r="D23"/>
      <c r="E23"/>
      <c r="F23"/>
      <c r="G23"/>
      <c r="H23"/>
      <c r="I23" s="83"/>
    </row>
    <row r="24" s="77" customFormat="1" ht="22" customHeight="1" spans="1:9">
      <c r="A24" s="90"/>
      <c r="B24" s="91"/>
      <c r="C24" s="42"/>
      <c r="D24" s="43" t="s">
        <v>108</v>
      </c>
      <c r="E24" s="44" t="s">
        <v>109</v>
      </c>
      <c r="F24" s="44" t="s">
        <v>110</v>
      </c>
      <c r="G24" s="44"/>
      <c r="H24" s="44"/>
      <c r="I24" s="83" t="s">
        <v>38</v>
      </c>
    </row>
    <row r="25" s="77" customFormat="1" ht="22" customHeight="1" spans="1:9">
      <c r="A25" s="87"/>
      <c r="B25" s="85">
        <v>5</v>
      </c>
      <c r="C25" s="46" t="s">
        <v>20</v>
      </c>
      <c r="D25">
        <f>'总表-数据收集'!AS5</f>
        <v>77</v>
      </c>
      <c r="E25">
        <f>'总表-数据收集'!BR5</f>
        <v>22</v>
      </c>
      <c r="F25">
        <f>'总表-数据收集'!CQ5</f>
        <v>29</v>
      </c>
      <c r="G25">
        <f>'总表-数据收集'!DP5</f>
        <v>22</v>
      </c>
      <c r="H25">
        <f>'总表-数据收集'!EO5</f>
        <v>22</v>
      </c>
      <c r="I25" s="83">
        <f>SUM(D25:H25)</f>
        <v>172</v>
      </c>
    </row>
    <row r="26" s="77" customFormat="1" ht="22" customHeight="1" spans="1:9">
      <c r="A26" s="90"/>
      <c r="B26" s="85">
        <v>6</v>
      </c>
      <c r="C26" s="47" t="s">
        <v>21</v>
      </c>
      <c r="D26">
        <f>'总表-数据收集'!AS6</f>
        <v>25</v>
      </c>
      <c r="E26">
        <f>'总表-数据收集'!BR6</f>
        <v>13</v>
      </c>
      <c r="F26">
        <f>'总表-数据收集'!CQ6</f>
        <v>26</v>
      </c>
      <c r="G26">
        <f>'总表-数据收集'!DP6</f>
        <v>51</v>
      </c>
      <c r="H26">
        <f>'总表-数据收集'!EO6</f>
        <v>44</v>
      </c>
      <c r="I26" s="83">
        <f t="shared" ref="I26:I42" si="1">SUM(D26:H26)</f>
        <v>159</v>
      </c>
    </row>
    <row r="27" s="77" customFormat="1" ht="22" customHeight="1" spans="1:9">
      <c r="A27" s="90"/>
      <c r="B27" s="85">
        <v>7</v>
      </c>
      <c r="C27" s="48" t="s">
        <v>22</v>
      </c>
      <c r="D27">
        <f>'总表-数据收集'!AS7</f>
        <v>27</v>
      </c>
      <c r="E27">
        <f>'总表-数据收集'!BR7</f>
        <v>21</v>
      </c>
      <c r="F27">
        <f>'总表-数据收集'!CQ7</f>
        <v>31</v>
      </c>
      <c r="G27">
        <f>'总表-数据收集'!DP7</f>
        <v>60</v>
      </c>
      <c r="H27">
        <f>'总表-数据收集'!EO7</f>
        <v>61</v>
      </c>
      <c r="I27" s="83">
        <f t="shared" si="1"/>
        <v>200</v>
      </c>
    </row>
    <row r="28" s="77" customFormat="1" ht="22" customHeight="1" spans="1:9">
      <c r="B28" s="85">
        <v>8</v>
      </c>
      <c r="C28" s="47" t="s">
        <v>23</v>
      </c>
      <c r="D28">
        <f>'总表-数据收集'!AS8</f>
        <v>22</v>
      </c>
      <c r="E28">
        <f>'总表-数据收集'!BR8</f>
        <v>8</v>
      </c>
      <c r="F28">
        <f>'总表-数据收集'!CQ8</f>
        <v>27</v>
      </c>
      <c r="G28">
        <f>'总表-数据收集'!DP8</f>
        <v>15</v>
      </c>
      <c r="H28">
        <f>'总表-数据收集'!EO8</f>
        <v>30</v>
      </c>
      <c r="I28" s="83">
        <f t="shared" si="1"/>
        <v>102</v>
      </c>
    </row>
    <row r="29" s="77" customFormat="1" ht="22" customHeight="1" spans="1:9">
      <c r="B29" s="85">
        <v>9</v>
      </c>
      <c r="C29" s="49" t="s">
        <v>24</v>
      </c>
      <c r="D29">
        <f>'总表-数据收集'!AS9</f>
        <v>10</v>
      </c>
      <c r="E29">
        <f>'总表-数据收集'!BR9</f>
        <v>16</v>
      </c>
      <c r="F29">
        <f>'总表-数据收集'!CQ9</f>
        <v>18</v>
      </c>
      <c r="G29">
        <f>'总表-数据收集'!DP9</f>
        <v>25</v>
      </c>
      <c r="H29">
        <f>'总表-数据收集'!EO9</f>
        <v>33</v>
      </c>
      <c r="I29" s="83">
        <f t="shared" si="1"/>
        <v>102</v>
      </c>
    </row>
    <row r="30" s="77" customFormat="1" ht="19" customHeight="1" spans="1:9">
      <c r="B30" s="85">
        <v>10</v>
      </c>
      <c r="C30" s="50" t="s">
        <v>25</v>
      </c>
      <c r="D30">
        <f>'总表-数据收集'!AS10</f>
        <v>41</v>
      </c>
      <c r="E30">
        <f>'总表-数据收集'!BR10</f>
        <v>29</v>
      </c>
      <c r="F30">
        <f>'总表-数据收集'!CQ10</f>
        <v>50</v>
      </c>
      <c r="G30">
        <f>'总表-数据收集'!DP10</f>
        <v>33</v>
      </c>
      <c r="H30">
        <f>'总表-数据收集'!EO10</f>
        <v>42</v>
      </c>
      <c r="I30" s="83">
        <f t="shared" si="1"/>
        <v>195</v>
      </c>
    </row>
    <row r="31" s="77" customFormat="1" ht="22" customHeight="1" spans="1:9">
      <c r="A31" s="92"/>
      <c r="B31" s="85">
        <v>11</v>
      </c>
      <c r="C31" s="49" t="s">
        <v>26</v>
      </c>
      <c r="D31">
        <f>'总表-数据收集'!AS11</f>
        <v>76</v>
      </c>
      <c r="E31">
        <f>'总表-数据收集'!BR11</f>
        <v>27</v>
      </c>
      <c r="F31">
        <f>'总表-数据收集'!CQ11</f>
        <v>52</v>
      </c>
      <c r="G31">
        <f>'总表-数据收集'!DP11</f>
        <v>37</v>
      </c>
      <c r="H31">
        <f>'总表-数据收集'!EO11</f>
        <v>50</v>
      </c>
      <c r="I31" s="83">
        <f t="shared" si="1"/>
        <v>242</v>
      </c>
    </row>
    <row r="32" s="77" customFormat="1" ht="22" customHeight="1" spans="1:9">
      <c r="A32" s="86" t="s">
        <v>55</v>
      </c>
      <c r="B32" s="85">
        <v>12</v>
      </c>
      <c r="C32" s="51" t="s">
        <v>27</v>
      </c>
      <c r="D32">
        <f>'总表-数据收集'!AS12</f>
        <v>0</v>
      </c>
      <c r="E32">
        <f>'总表-数据收集'!BR12</f>
        <v>0</v>
      </c>
      <c r="F32">
        <f>'总表-数据收集'!CQ12</f>
        <v>41</v>
      </c>
      <c r="G32">
        <f>'总表-数据收集'!DP12</f>
        <v>25</v>
      </c>
      <c r="H32">
        <f>'总表-数据收集'!EO12</f>
        <v>26</v>
      </c>
      <c r="I32" s="83">
        <f t="shared" si="1"/>
        <v>92</v>
      </c>
    </row>
    <row r="33" s="77" customFormat="1" ht="22" customHeight="1" spans="1:9">
      <c r="B33" s="85">
        <v>13</v>
      </c>
      <c r="C33" s="49" t="s">
        <v>28</v>
      </c>
      <c r="D33">
        <f>'总表-数据收集'!AS13</f>
        <v>17</v>
      </c>
      <c r="E33">
        <f>'总表-数据收集'!BR13</f>
        <v>9</v>
      </c>
      <c r="F33">
        <f>'总表-数据收集'!CQ13</f>
        <v>22</v>
      </c>
      <c r="G33">
        <f>'总表-数据收集'!DP13</f>
        <v>10</v>
      </c>
      <c r="H33">
        <f>'总表-数据收集'!EO13</f>
        <v>15</v>
      </c>
      <c r="I33" s="83">
        <f t="shared" si="1"/>
        <v>73</v>
      </c>
    </row>
    <row r="34" s="77" customFormat="1" ht="22" customHeight="1" spans="1:9">
      <c r="B34" s="85">
        <v>14</v>
      </c>
      <c r="C34" s="52" t="s">
        <v>29</v>
      </c>
      <c r="D34">
        <f>'总表-数据收集'!AS14</f>
        <v>99</v>
      </c>
      <c r="E34">
        <f>'总表-数据收集'!BR14</f>
        <v>67</v>
      </c>
      <c r="F34">
        <f>'总表-数据收集'!CQ14</f>
        <v>91</v>
      </c>
      <c r="G34">
        <f>'总表-数据收集'!DP14</f>
        <v>127</v>
      </c>
      <c r="H34">
        <f>'总表-数据收集'!EO14</f>
        <v>89</v>
      </c>
      <c r="I34" s="83">
        <f t="shared" si="1"/>
        <v>473</v>
      </c>
    </row>
    <row r="35" s="77" customFormat="1" ht="22" customHeight="1" spans="1:9">
      <c r="B35" s="85">
        <v>15</v>
      </c>
      <c r="C35" s="49" t="s">
        <v>30</v>
      </c>
      <c r="D35">
        <f>'总表-数据收集'!AS15</f>
        <v>54</v>
      </c>
      <c r="E35">
        <f>'总表-数据收集'!BR15</f>
        <v>47</v>
      </c>
      <c r="F35">
        <f>'总表-数据收集'!CQ15</f>
        <v>92</v>
      </c>
      <c r="G35">
        <f>'总表-数据收集'!DP15</f>
        <v>120</v>
      </c>
      <c r="H35">
        <f>'总表-数据收集'!EO15</f>
        <v>92</v>
      </c>
      <c r="I35" s="83">
        <f t="shared" si="1"/>
        <v>405</v>
      </c>
    </row>
    <row r="36" s="77" customFormat="1" ht="22" customHeight="1" spans="1:9">
      <c r="B36" s="85">
        <v>16</v>
      </c>
      <c r="C36" s="52" t="s">
        <v>31</v>
      </c>
      <c r="D36">
        <f>'总表-数据收集'!AS16</f>
        <v>54</v>
      </c>
      <c r="E36">
        <f>'总表-数据收集'!BR16</f>
        <v>11</v>
      </c>
      <c r="F36">
        <f>'总表-数据收集'!CQ16</f>
        <v>39</v>
      </c>
      <c r="G36">
        <f>'总表-数据收集'!DP16</f>
        <v>42</v>
      </c>
      <c r="H36">
        <f>'总表-数据收集'!EO16</f>
        <v>27</v>
      </c>
      <c r="I36" s="83">
        <f t="shared" si="1"/>
        <v>173</v>
      </c>
    </row>
    <row r="37" s="77" customFormat="1" ht="22" customHeight="1" spans="1:9">
      <c r="B37" s="85">
        <v>17</v>
      </c>
      <c r="C37" s="49" t="s">
        <v>32</v>
      </c>
      <c r="D37">
        <f>'总表-数据收集'!AS17</f>
        <v>1</v>
      </c>
      <c r="E37">
        <f>'总表-数据收集'!BR17</f>
        <v>4</v>
      </c>
      <c r="F37">
        <f>'总表-数据收集'!CQ17</f>
        <v>11</v>
      </c>
      <c r="G37">
        <f>'总表-数据收集'!DP17</f>
        <v>25</v>
      </c>
      <c r="H37">
        <f>'总表-数据收集'!EO17</f>
        <v>19</v>
      </c>
      <c r="I37" s="83">
        <f t="shared" si="1"/>
        <v>60</v>
      </c>
    </row>
    <row r="38" s="77" customFormat="1" ht="22" customHeight="1" spans="1:9">
      <c r="B38" s="85">
        <v>18</v>
      </c>
      <c r="C38" s="52" t="s">
        <v>33</v>
      </c>
      <c r="D38">
        <f>'总表-数据收集'!AS18</f>
        <v>22</v>
      </c>
      <c r="E38">
        <f>'总表-数据收集'!BR18</f>
        <v>6</v>
      </c>
      <c r="F38">
        <f>'总表-数据收集'!CQ18</f>
        <v>11</v>
      </c>
      <c r="G38">
        <f>'总表-数据收集'!DP18</f>
        <v>29</v>
      </c>
      <c r="H38">
        <f>'总表-数据收集'!EO18</f>
        <v>22</v>
      </c>
      <c r="I38" s="83">
        <f t="shared" si="1"/>
        <v>90</v>
      </c>
    </row>
    <row r="39" s="77" customFormat="1" ht="22" customHeight="1" spans="1:9">
      <c r="B39" s="85">
        <v>19</v>
      </c>
      <c r="C39" s="49" t="s">
        <v>34</v>
      </c>
      <c r="D39">
        <f>'总表-数据收集'!AS19</f>
        <v>7</v>
      </c>
      <c r="E39">
        <f>'总表-数据收集'!BR19</f>
        <v>1</v>
      </c>
      <c r="F39">
        <f>'总表-数据收集'!CQ19</f>
        <v>3</v>
      </c>
      <c r="G39">
        <f>'总表-数据收集'!DP19</f>
        <v>23</v>
      </c>
      <c r="H39">
        <f>'总表-数据收集'!EO19</f>
        <v>12</v>
      </c>
      <c r="I39" s="83">
        <f t="shared" si="1"/>
        <v>46</v>
      </c>
    </row>
    <row r="40" s="77" customFormat="1" ht="22" customHeight="1" spans="1:9">
      <c r="B40" s="85">
        <v>20</v>
      </c>
      <c r="C40" s="47" t="s">
        <v>35</v>
      </c>
      <c r="D40">
        <f>'总表-数据收集'!AS20</f>
        <v>0</v>
      </c>
      <c r="E40">
        <f>'总表-数据收集'!BR20</f>
        <v>3</v>
      </c>
      <c r="F40">
        <f>'总表-数据收集'!CQ20</f>
        <v>8</v>
      </c>
      <c r="G40">
        <f>'总表-数据收集'!DP20</f>
        <v>28</v>
      </c>
      <c r="H40">
        <f>'总表-数据收集'!EO20</f>
        <v>18</v>
      </c>
      <c r="I40" s="83">
        <f t="shared" si="1"/>
        <v>57</v>
      </c>
    </row>
    <row r="41" s="77" customFormat="1" ht="22" customHeight="1" spans="1:9">
      <c r="B41" s="85">
        <v>21</v>
      </c>
      <c r="C41" s="54" t="s">
        <v>36</v>
      </c>
      <c r="D41">
        <f>'总表-数据收集'!AS21</f>
        <v>2</v>
      </c>
      <c r="E41">
        <f>'总表-数据收集'!BR21</f>
        <v>6</v>
      </c>
      <c r="F41">
        <f>'总表-数据收集'!CQ21</f>
        <v>21</v>
      </c>
      <c r="G41">
        <f>'总表-数据收集'!DP21</f>
        <v>28</v>
      </c>
      <c r="H41">
        <f>'总表-数据收集'!EO21</f>
        <v>12</v>
      </c>
      <c r="I41" s="83">
        <f t="shared" si="1"/>
        <v>69</v>
      </c>
    </row>
    <row r="42" s="77" customFormat="1" ht="22" customHeight="1" spans="1:9">
      <c r="B42" s="82">
        <v>22</v>
      </c>
      <c r="C42" s="53" t="s">
        <v>37</v>
      </c>
      <c r="D42">
        <f>'总表-数据收集'!AS22</f>
        <v>0</v>
      </c>
      <c r="E42">
        <f>'总表-数据收集'!BR22</f>
        <v>0</v>
      </c>
      <c r="F42">
        <f>'总表-数据收集'!CQ22</f>
        <v>0</v>
      </c>
      <c r="G42">
        <f>'总表-数据收集'!DP22</f>
        <v>0</v>
      </c>
      <c r="H42">
        <f>'总表-数据收集'!EO22</f>
        <v>3</v>
      </c>
      <c r="I42" s="83">
        <f t="shared" si="1"/>
        <v>3</v>
      </c>
    </row>
    <row r="43" s="77" customFormat="1" ht="22" customHeight="1" spans="1:9">
      <c r="B43" s="82"/>
      <c r="C43" s="53"/>
      <c r="D43">
        <f>SUM(D25:D42)</f>
        <v>534</v>
      </c>
      <c r="E43">
        <f>SUM(E25:E42)</f>
        <v>290</v>
      </c>
      <c r="F43">
        <f>SUM(F25:F42)</f>
        <v>572</v>
      </c>
      <c r="G43"/>
      <c r="H43"/>
      <c r="I43" s="83"/>
    </row>
    <row r="44" s="77" customFormat="1" ht="22" customHeight="1" spans="1:9">
      <c r="B44" s="82"/>
      <c r="C44" s="42" t="s">
        <v>64</v>
      </c>
      <c r="D44" s="43" t="s">
        <v>108</v>
      </c>
      <c r="E44" s="44" t="s">
        <v>109</v>
      </c>
      <c r="F44" s="44" t="s">
        <v>110</v>
      </c>
      <c r="G44" s="44"/>
      <c r="H44" s="44"/>
      <c r="I44" s="83" t="s">
        <v>38</v>
      </c>
    </row>
    <row r="45" s="77" customFormat="1" ht="22" customHeight="1" spans="1:9">
      <c r="B45" s="85">
        <v>5</v>
      </c>
      <c r="C45" s="46" t="s">
        <v>20</v>
      </c>
      <c r="D45">
        <f>'总表-数据收集'!AT5</f>
        <v>36</v>
      </c>
      <c r="E45">
        <f>'总表-数据收集'!BS5</f>
        <v>4</v>
      </c>
      <c r="F45">
        <f>'总表-数据收集'!CR5</f>
        <v>9</v>
      </c>
      <c r="G45">
        <f>'总表-数据收集'!DQ5</f>
        <v>7</v>
      </c>
      <c r="H45">
        <f>'总表-数据收集'!EP5</f>
        <v>10</v>
      </c>
      <c r="I45" s="83">
        <f>SUM(D45:H45)</f>
        <v>66</v>
      </c>
    </row>
    <row r="46" s="77" customFormat="1" ht="20" customHeight="1" spans="1:9">
      <c r="B46" s="85">
        <v>6</v>
      </c>
      <c r="C46" s="47" t="s">
        <v>21</v>
      </c>
      <c r="D46">
        <f>'总表-数据收集'!AT6</f>
        <v>6</v>
      </c>
      <c r="E46">
        <f>'总表-数据收集'!BS6</f>
        <v>3</v>
      </c>
      <c r="F46">
        <f>'总表-数据收集'!CR6</f>
        <v>9</v>
      </c>
      <c r="G46">
        <f>'总表-数据收集'!DQ6</f>
        <v>12</v>
      </c>
      <c r="H46">
        <f>'总表-数据收集'!EP6</f>
        <v>18</v>
      </c>
      <c r="I46" s="83">
        <f t="shared" ref="I46:I62" si="2">SUM(D46:H46)</f>
        <v>48</v>
      </c>
    </row>
    <row r="47" s="77" customFormat="1" ht="22" customHeight="1" spans="1:9">
      <c r="A47" s="93"/>
      <c r="B47" s="85">
        <v>7</v>
      </c>
      <c r="C47" s="48" t="s">
        <v>22</v>
      </c>
      <c r="D47">
        <f>'总表-数据收集'!AT7</f>
        <v>6</v>
      </c>
      <c r="E47">
        <f>'总表-数据收集'!BS7</f>
        <v>13</v>
      </c>
      <c r="F47">
        <f>'总表-数据收集'!CR7</f>
        <v>17</v>
      </c>
      <c r="G47">
        <f>'总表-数据收集'!DQ7</f>
        <v>16</v>
      </c>
      <c r="H47">
        <f>'总表-数据收集'!EP7</f>
        <v>20</v>
      </c>
      <c r="I47" s="83">
        <f t="shared" si="2"/>
        <v>72</v>
      </c>
    </row>
    <row r="48" s="77" customFormat="1" ht="22" customHeight="1" spans="1:9">
      <c r="A48" s="86" t="s">
        <v>55</v>
      </c>
      <c r="B48" s="85">
        <v>8</v>
      </c>
      <c r="C48" s="47" t="s">
        <v>23</v>
      </c>
      <c r="D48">
        <f>'总表-数据收集'!AT8</f>
        <v>7</v>
      </c>
      <c r="E48">
        <f>'总表-数据收集'!BS8</f>
        <v>3</v>
      </c>
      <c r="F48">
        <f>'总表-数据收集'!CR8</f>
        <v>7</v>
      </c>
      <c r="G48">
        <f>'总表-数据收集'!DQ8</f>
        <v>3</v>
      </c>
      <c r="H48">
        <f>'总表-数据收集'!EP8</f>
        <v>8</v>
      </c>
      <c r="I48" s="83">
        <f t="shared" si="2"/>
        <v>28</v>
      </c>
    </row>
    <row r="49" s="77" customFormat="1" ht="22" customHeight="1" spans="1:9">
      <c r="B49" s="85">
        <v>9</v>
      </c>
      <c r="C49" s="49" t="s">
        <v>24</v>
      </c>
      <c r="D49">
        <f>'总表-数据收集'!AT9</f>
        <v>1</v>
      </c>
      <c r="E49">
        <f>'总表-数据收集'!BS9</f>
        <v>0</v>
      </c>
      <c r="F49">
        <f>'总表-数据收集'!CR9</f>
        <v>2</v>
      </c>
      <c r="G49">
        <f>'总表-数据收集'!DQ9</f>
        <v>2</v>
      </c>
      <c r="H49">
        <f>'总表-数据收集'!EP9</f>
        <v>6</v>
      </c>
      <c r="I49" s="83">
        <f t="shared" si="2"/>
        <v>11</v>
      </c>
    </row>
    <row r="50" s="77" customFormat="1" ht="22" customHeight="1" spans="1:9">
      <c r="B50" s="85">
        <v>10</v>
      </c>
      <c r="C50" s="50" t="s">
        <v>25</v>
      </c>
      <c r="D50">
        <f>'总表-数据收集'!AT10</f>
        <v>11</v>
      </c>
      <c r="E50">
        <f>'总表-数据收集'!BS10</f>
        <v>5</v>
      </c>
      <c r="F50">
        <f>'总表-数据收集'!CR10</f>
        <v>9</v>
      </c>
      <c r="G50">
        <f>'总表-数据收集'!DQ10</f>
        <v>7</v>
      </c>
      <c r="H50">
        <f>'总表-数据收集'!EP10</f>
        <v>10</v>
      </c>
      <c r="I50" s="83">
        <f t="shared" si="2"/>
        <v>42</v>
      </c>
    </row>
    <row r="51" s="77" customFormat="1" ht="22" customHeight="1" spans="1:9">
      <c r="B51" s="85">
        <v>11</v>
      </c>
      <c r="C51" s="49" t="s">
        <v>26</v>
      </c>
      <c r="D51">
        <f>'总表-数据收集'!AT11</f>
        <v>15</v>
      </c>
      <c r="E51">
        <f>'总表-数据收集'!BS11</f>
        <v>7</v>
      </c>
      <c r="F51">
        <f>'总表-数据收集'!CR11</f>
        <v>10</v>
      </c>
      <c r="G51">
        <f>'总表-数据收集'!DQ11</f>
        <v>5</v>
      </c>
      <c r="H51">
        <f>'总表-数据收集'!EP11</f>
        <v>10</v>
      </c>
      <c r="I51" s="83">
        <f t="shared" si="2"/>
        <v>47</v>
      </c>
    </row>
    <row r="52" s="77" customFormat="1" ht="22" customHeight="1" spans="1:9">
      <c r="B52" s="85">
        <v>12</v>
      </c>
      <c r="C52" s="51" t="s">
        <v>27</v>
      </c>
      <c r="D52">
        <f>'总表-数据收集'!AT12</f>
        <v>0</v>
      </c>
      <c r="E52">
        <f>'总表-数据收集'!BS12</f>
        <v>0</v>
      </c>
      <c r="F52">
        <f>'总表-数据收集'!CR12</f>
        <v>16</v>
      </c>
      <c r="G52">
        <f>'总表-数据收集'!DQ12</f>
        <v>9</v>
      </c>
      <c r="H52">
        <f>'总表-数据收集'!EP12</f>
        <v>10</v>
      </c>
      <c r="I52" s="83">
        <f t="shared" si="2"/>
        <v>35</v>
      </c>
    </row>
    <row r="53" s="77" customFormat="1" ht="22" customHeight="1" spans="1:9">
      <c r="B53" s="85">
        <v>13</v>
      </c>
      <c r="C53" s="49" t="s">
        <v>28</v>
      </c>
      <c r="D53">
        <f>'总表-数据收集'!AT13</f>
        <v>10</v>
      </c>
      <c r="E53">
        <f>'总表-数据收集'!BS13</f>
        <v>3</v>
      </c>
      <c r="F53">
        <f>'总表-数据收集'!CR13</f>
        <v>6</v>
      </c>
      <c r="G53">
        <f>'总表-数据收集'!DQ13</f>
        <v>2</v>
      </c>
      <c r="H53">
        <f>'总表-数据收集'!EP13</f>
        <v>6</v>
      </c>
      <c r="I53" s="83">
        <f t="shared" si="2"/>
        <v>27</v>
      </c>
    </row>
    <row r="54" s="77" customFormat="1" ht="22" customHeight="1" spans="1:9">
      <c r="B54" s="85">
        <v>14</v>
      </c>
      <c r="C54" s="52" t="s">
        <v>29</v>
      </c>
      <c r="D54">
        <f>'总表-数据收集'!AT14</f>
        <v>19</v>
      </c>
      <c r="E54">
        <f>'总表-数据收集'!BS14</f>
        <v>5</v>
      </c>
      <c r="F54">
        <f>'总表-数据收集'!CR14</f>
        <v>21</v>
      </c>
      <c r="G54">
        <f>'总表-数据收集'!DQ14</f>
        <v>22</v>
      </c>
      <c r="H54">
        <f>'总表-数据收集'!EP14</f>
        <v>25</v>
      </c>
      <c r="I54" s="83">
        <f t="shared" si="2"/>
        <v>92</v>
      </c>
    </row>
    <row r="55" s="77" customFormat="1" ht="22" customHeight="1" spans="1:9">
      <c r="B55" s="85">
        <v>15</v>
      </c>
      <c r="C55" s="49" t="s">
        <v>30</v>
      </c>
      <c r="D55">
        <f>'总表-数据收集'!AT15</f>
        <v>12</v>
      </c>
      <c r="E55">
        <f>'总表-数据收集'!BS15</f>
        <v>11</v>
      </c>
      <c r="F55">
        <f>'总表-数据收集'!CR15</f>
        <v>24</v>
      </c>
      <c r="G55">
        <f>'总表-数据收集'!DQ15</f>
        <v>35</v>
      </c>
      <c r="H55">
        <f>'总表-数据收集'!EP15</f>
        <v>27</v>
      </c>
      <c r="I55" s="83">
        <f t="shared" si="2"/>
        <v>109</v>
      </c>
    </row>
    <row r="56" s="77" customFormat="1" ht="18" spans="1:9">
      <c r="B56" s="85">
        <v>16</v>
      </c>
      <c r="C56" s="52" t="s">
        <v>31</v>
      </c>
      <c r="D56">
        <f>'总表-数据收集'!AT16</f>
        <v>11</v>
      </c>
      <c r="E56">
        <f>'总表-数据收集'!BS16</f>
        <v>4</v>
      </c>
      <c r="F56">
        <f>'总表-数据收集'!CR16</f>
        <v>13</v>
      </c>
      <c r="G56">
        <f>'总表-数据收集'!DQ16</f>
        <v>5</v>
      </c>
      <c r="H56">
        <f>'总表-数据收集'!EP16</f>
        <v>5</v>
      </c>
      <c r="I56" s="83">
        <f t="shared" si="2"/>
        <v>38</v>
      </c>
    </row>
    <row r="57" s="77" customFormat="1" ht="22" customHeight="1" spans="1:9">
      <c r="A57" s="94"/>
      <c r="B57" s="85">
        <v>17</v>
      </c>
      <c r="C57" s="49" t="s">
        <v>32</v>
      </c>
      <c r="D57">
        <f>'总表-数据收集'!AT17</f>
        <v>4</v>
      </c>
      <c r="E57">
        <f>'总表-数据收集'!BS17</f>
        <v>2</v>
      </c>
      <c r="F57">
        <f>'总表-数据收集'!CR17</f>
        <v>4</v>
      </c>
      <c r="G57">
        <f>'总表-数据收集'!DQ17</f>
        <v>11</v>
      </c>
      <c r="H57">
        <f>'总表-数据收集'!EP17</f>
        <v>4</v>
      </c>
      <c r="I57" s="83">
        <f t="shared" si="2"/>
        <v>25</v>
      </c>
    </row>
    <row r="58" s="77" customFormat="1" ht="22" customHeight="1" spans="1:9">
      <c r="A58" s="86" t="s">
        <v>55</v>
      </c>
      <c r="B58" s="85">
        <v>18</v>
      </c>
      <c r="C58" s="52" t="s">
        <v>33</v>
      </c>
      <c r="D58">
        <f>'总表-数据收集'!AT18</f>
        <v>6</v>
      </c>
      <c r="E58">
        <f>'总表-数据收集'!BS18</f>
        <v>3</v>
      </c>
      <c r="F58">
        <f>'总表-数据收集'!CR18</f>
        <v>5</v>
      </c>
      <c r="G58">
        <f>'总表-数据收集'!DQ18</f>
        <v>3</v>
      </c>
      <c r="H58">
        <f>'总表-数据收集'!EP18</f>
        <v>4</v>
      </c>
      <c r="I58" s="83">
        <f t="shared" si="2"/>
        <v>21</v>
      </c>
    </row>
    <row r="59" s="77" customFormat="1" ht="22" customHeight="1" spans="1:9">
      <c r="B59" s="85">
        <v>19</v>
      </c>
      <c r="C59" s="49" t="s">
        <v>34</v>
      </c>
      <c r="D59">
        <f>'总表-数据收集'!AT19</f>
        <v>0</v>
      </c>
      <c r="E59">
        <f>'总表-数据收集'!BS19</f>
        <v>0</v>
      </c>
      <c r="F59">
        <f>'总表-数据收集'!CR19</f>
        <v>0</v>
      </c>
      <c r="G59">
        <f>'总表-数据收集'!DQ19</f>
        <v>0</v>
      </c>
      <c r="H59">
        <f>'总表-数据收集'!EP19</f>
        <v>0</v>
      </c>
      <c r="I59" s="83">
        <f t="shared" si="2"/>
        <v>0</v>
      </c>
    </row>
    <row r="60" s="77" customFormat="1" ht="22" customHeight="1" spans="1:9">
      <c r="B60" s="85">
        <v>20</v>
      </c>
      <c r="C60" s="47" t="s">
        <v>35</v>
      </c>
      <c r="D60">
        <f>'总表-数据收集'!AT20</f>
        <v>0</v>
      </c>
      <c r="E60">
        <f>'总表-数据收集'!BS20</f>
        <v>2</v>
      </c>
      <c r="F60">
        <f>'总表-数据收集'!CR20</f>
        <v>2</v>
      </c>
      <c r="G60">
        <f>'总表-数据收集'!DQ20</f>
        <v>13</v>
      </c>
      <c r="H60">
        <f>'总表-数据收集'!EP20</f>
        <v>0</v>
      </c>
      <c r="I60" s="83">
        <f t="shared" si="2"/>
        <v>17</v>
      </c>
    </row>
    <row r="61" s="77" customFormat="1" ht="22" customHeight="1" spans="1:9">
      <c r="B61" s="85">
        <v>21</v>
      </c>
      <c r="C61" s="54" t="s">
        <v>36</v>
      </c>
      <c r="D61">
        <f>'总表-数据收集'!AT21</f>
        <v>1</v>
      </c>
      <c r="E61">
        <f>'总表-数据收集'!BS21</f>
        <v>0</v>
      </c>
      <c r="F61">
        <f>'总表-数据收集'!CR21</f>
        <v>4</v>
      </c>
      <c r="G61">
        <f>'总表-数据收集'!DQ21</f>
        <v>7</v>
      </c>
      <c r="H61">
        <f>'总表-数据收集'!EP21</f>
        <v>5</v>
      </c>
      <c r="I61" s="83">
        <f t="shared" si="2"/>
        <v>17</v>
      </c>
    </row>
    <row r="62" s="77" customFormat="1" ht="22" customHeight="1" spans="1:9">
      <c r="B62" s="82">
        <v>22</v>
      </c>
      <c r="C62" s="53" t="s">
        <v>37</v>
      </c>
      <c r="D62">
        <f>'总表-数据收集'!AT22</f>
        <v>0</v>
      </c>
      <c r="E62">
        <f>'总表-数据收集'!BS22</f>
        <v>0</v>
      </c>
      <c r="F62">
        <f>'总表-数据收集'!CR22</f>
        <v>0</v>
      </c>
      <c r="G62">
        <f>'总表-数据收集'!DQ22</f>
        <v>0</v>
      </c>
      <c r="H62">
        <f>'总表-数据收集'!EP22</f>
        <v>1</v>
      </c>
      <c r="I62" s="83">
        <f t="shared" si="2"/>
        <v>1</v>
      </c>
    </row>
    <row r="63" s="77" customFormat="1" ht="22" customHeight="1" spans="1:9">
      <c r="B63" s="82"/>
      <c r="C63" s="82"/>
      <c r="D63" s="82">
        <f>SUM(D45:D62)</f>
        <v>145</v>
      </c>
      <c r="E63" s="82">
        <f>SUM(E45:E62)</f>
        <v>65</v>
      </c>
      <c r="F63" s="77">
        <f>SUM(F45:F62)</f>
        <v>158</v>
      </c>
      <c r="I63" s="83"/>
    </row>
    <row r="64" s="77" customFormat="1" ht="22" customHeight="1" spans="1:9">
      <c r="B64" s="82"/>
      <c r="C64" s="82"/>
      <c r="D64" s="82"/>
      <c r="I64" s="83"/>
    </row>
    <row r="65" s="77" customFormat="1" ht="13" customHeight="1" spans="1:9">
      <c r="B65" s="82"/>
      <c r="C65" s="82"/>
      <c r="D65" s="82"/>
      <c r="I65" s="83"/>
    </row>
    <row r="66" s="77" customFormat="1" ht="13" customHeight="1" spans="1:9">
      <c r="B66" s="82"/>
      <c r="C66" s="82"/>
      <c r="D66" s="82"/>
      <c r="I66" s="83"/>
    </row>
    <row r="67" s="77" customFormat="1" ht="22" customHeight="1" spans="1:9">
      <c r="A67" s="95"/>
      <c r="B67" s="82"/>
      <c r="C67" s="82"/>
      <c r="D67" s="82"/>
      <c r="I67" s="83"/>
    </row>
    <row r="68" s="77" customFormat="1" ht="22" customHeight="1" spans="1:9">
      <c r="A68" s="86" t="s">
        <v>55</v>
      </c>
      <c r="B68" s="82"/>
      <c r="C68" s="82"/>
      <c r="D68" s="82"/>
      <c r="I68" s="83"/>
    </row>
    <row r="69" s="77" customFormat="1" ht="22" customHeight="1" spans="1:9">
      <c r="B69" s="82"/>
      <c r="C69" s="82"/>
      <c r="D69" s="82"/>
      <c r="I69" s="83"/>
    </row>
    <row r="70" s="77" customFormat="1" ht="22" customHeight="1" spans="1:9">
      <c r="B70" s="82"/>
      <c r="C70" s="82"/>
      <c r="D70" s="82"/>
      <c r="I70" s="83"/>
    </row>
    <row r="71" s="77" customFormat="1" ht="22" customHeight="1" spans="1:9">
      <c r="B71" s="82"/>
      <c r="C71" s="82"/>
      <c r="D71" s="82"/>
      <c r="I71" s="83"/>
    </row>
    <row r="72" s="77" customFormat="1" ht="22" customHeight="1" spans="1:9">
      <c r="B72" s="82"/>
      <c r="C72" s="82"/>
      <c r="D72" s="82"/>
      <c r="I72" s="83"/>
    </row>
    <row r="73" s="77" customFormat="1" ht="22" customHeight="1" spans="1:9">
      <c r="B73" s="82"/>
      <c r="C73" s="82"/>
      <c r="D73" s="82"/>
      <c r="I73" s="83"/>
    </row>
    <row r="74" s="77" customFormat="1" ht="22" customHeight="1" spans="1:9">
      <c r="B74" s="82"/>
      <c r="C74" s="82"/>
      <c r="D74" s="82"/>
      <c r="I74" s="83"/>
    </row>
    <row r="75" s="77" customFormat="1" ht="22" customHeight="1" spans="1:9">
      <c r="B75" s="82"/>
      <c r="C75" s="82"/>
      <c r="D75" s="82"/>
      <c r="I75" s="83"/>
    </row>
    <row r="76" s="77" customFormat="1" ht="12" customHeight="1" spans="1:9">
      <c r="B76" s="82"/>
      <c r="C76" s="82"/>
      <c r="D76" s="82"/>
      <c r="I76" s="83"/>
    </row>
    <row r="77" s="77" customFormat="1" ht="22" customHeight="1" spans="1:9">
      <c r="A77" s="92"/>
      <c r="B77" s="82"/>
      <c r="C77" s="82"/>
      <c r="D77" s="82"/>
      <c r="I77" s="83"/>
    </row>
    <row r="78" s="77" customFormat="1" ht="22" customHeight="1" spans="1:9">
      <c r="A78" s="86" t="s">
        <v>55</v>
      </c>
      <c r="B78" s="82"/>
      <c r="C78" s="82"/>
      <c r="D78" s="82"/>
      <c r="I78" s="83"/>
    </row>
    <row r="79" s="77" customFormat="1" ht="22" customHeight="1" spans="1:9">
      <c r="B79" s="82"/>
      <c r="C79" s="82"/>
      <c r="D79" s="82"/>
      <c r="I79" s="83"/>
    </row>
    <row r="80" s="77" customFormat="1" ht="22" customHeight="1" spans="1:9">
      <c r="B80" s="82"/>
      <c r="C80" s="82"/>
      <c r="D80" s="82"/>
      <c r="I80" s="83"/>
    </row>
    <row r="81" s="77" customFormat="1" ht="22" customHeight="1" spans="1:9">
      <c r="B81" s="82"/>
      <c r="C81" s="82"/>
      <c r="D81" s="82"/>
      <c r="I81" s="83"/>
    </row>
    <row r="82" s="77" customFormat="1" ht="22" customHeight="1" spans="1:9">
      <c r="B82" s="82"/>
      <c r="C82" s="82"/>
      <c r="D82" s="82"/>
      <c r="I82" s="83"/>
    </row>
    <row r="83" s="77" customFormat="1" ht="22" customHeight="1" spans="1:9">
      <c r="B83" s="82"/>
      <c r="C83" s="82"/>
      <c r="D83" s="82"/>
      <c r="I83" s="83"/>
    </row>
    <row r="84" s="77" customFormat="1" ht="22" customHeight="1" spans="1:9">
      <c r="B84" s="82"/>
      <c r="C84" s="82"/>
      <c r="D84" s="82"/>
      <c r="I84" s="83"/>
    </row>
    <row r="85" s="77" customFormat="1" ht="22" customHeight="1" spans="1:9">
      <c r="B85" s="82"/>
      <c r="C85" s="82"/>
      <c r="D85" s="82"/>
      <c r="I85" s="83"/>
    </row>
    <row r="86" s="77" customFormat="1" ht="11" customHeight="1" spans="1:9">
      <c r="B86" s="82"/>
      <c r="C86" s="82"/>
      <c r="D86" s="82"/>
      <c r="I86" s="83"/>
    </row>
    <row r="87" s="77" customFormat="1" ht="22" customHeight="1" spans="1:9">
      <c r="A87" s="93"/>
      <c r="B87" s="82"/>
      <c r="C87" s="82"/>
      <c r="D87" s="82"/>
      <c r="I87" s="83"/>
    </row>
    <row r="88" s="77" customFormat="1" ht="22" customHeight="1" spans="1:9">
      <c r="A88" s="86" t="s">
        <v>55</v>
      </c>
      <c r="B88" s="82"/>
      <c r="C88" s="82"/>
      <c r="D88" s="82"/>
      <c r="I88" s="83"/>
    </row>
    <row r="89" s="77" customFormat="1" ht="22" customHeight="1" spans="1:9">
      <c r="B89" s="82"/>
      <c r="C89" s="82"/>
      <c r="D89" s="82"/>
      <c r="I89" s="83"/>
    </row>
    <row r="90" s="77" customFormat="1" ht="22" customHeight="1" spans="1:9">
      <c r="B90" s="82"/>
      <c r="C90" s="82"/>
      <c r="D90" s="82"/>
      <c r="I90" s="83"/>
    </row>
    <row r="91" s="77" customFormat="1" ht="22" customHeight="1" spans="1:9">
      <c r="B91" s="82"/>
      <c r="C91" s="82"/>
      <c r="D91" s="82"/>
      <c r="I91" s="83"/>
    </row>
    <row r="92" s="77" customFormat="1" ht="22" customHeight="1" spans="1:9">
      <c r="B92" s="82"/>
      <c r="C92" s="82"/>
      <c r="D92" s="82"/>
      <c r="I92" s="83"/>
    </row>
    <row r="93" s="77" customFormat="1" ht="22" customHeight="1" spans="1:9">
      <c r="B93" s="82"/>
      <c r="C93" s="82"/>
      <c r="D93" s="82"/>
      <c r="I93" s="83"/>
    </row>
    <row r="94" s="77" customFormat="1" ht="22" customHeight="1" spans="1:9">
      <c r="B94" s="82"/>
      <c r="C94" s="82"/>
      <c r="D94" s="82"/>
      <c r="I94" s="83"/>
    </row>
    <row r="95" s="77" customFormat="1" ht="22" customHeight="1" spans="1:9">
      <c r="B95" s="82"/>
      <c r="C95" s="82"/>
      <c r="D95" s="82"/>
      <c r="I95" s="83"/>
    </row>
    <row r="96" s="77" customFormat="1" ht="19" customHeight="1" spans="1:9">
      <c r="B96" s="82"/>
      <c r="C96" s="82"/>
      <c r="D96" s="82"/>
      <c r="I96" s="83"/>
    </row>
    <row r="97" s="77" customFormat="1" ht="22" customHeight="1" spans="1:9">
      <c r="A97" s="96"/>
      <c r="B97" s="82"/>
      <c r="C97" s="82"/>
      <c r="D97" s="82"/>
      <c r="I97" s="83"/>
    </row>
    <row r="98" s="77" customFormat="1" ht="22" customHeight="1" spans="1:9">
      <c r="A98" s="86" t="s">
        <v>55</v>
      </c>
      <c r="B98" s="82"/>
      <c r="C98" s="82"/>
      <c r="D98" s="82"/>
      <c r="I98" s="83"/>
    </row>
    <row r="99" s="77" customFormat="1" ht="22" customHeight="1" spans="1:9">
      <c r="B99" s="82"/>
      <c r="C99" s="82"/>
      <c r="D99" s="82"/>
      <c r="I99" s="83"/>
    </row>
    <row r="100" s="77" customFormat="1" ht="22" customHeight="1" spans="1:9">
      <c r="B100" s="82"/>
      <c r="C100" s="82"/>
      <c r="D100" s="82"/>
      <c r="I100" s="83"/>
    </row>
    <row r="101" s="77" customFormat="1" ht="22" customHeight="1" spans="1:9">
      <c r="B101" s="82"/>
      <c r="C101" s="82"/>
      <c r="D101" s="82"/>
      <c r="I101" s="83"/>
    </row>
    <row r="102" s="77" customFormat="1" ht="22" customHeight="1" spans="1:9">
      <c r="B102" s="82"/>
      <c r="C102" s="82"/>
      <c r="D102" s="82"/>
      <c r="I102" s="83"/>
    </row>
    <row r="103" s="77" customFormat="1" ht="22" customHeight="1" spans="1:9">
      <c r="B103" s="82"/>
      <c r="C103" s="82"/>
      <c r="D103" s="82"/>
      <c r="I103" s="83"/>
    </row>
    <row r="104" s="77" customFormat="1" ht="22" customHeight="1" spans="1:9">
      <c r="B104" s="82"/>
      <c r="C104" s="82"/>
      <c r="D104" s="82"/>
      <c r="I104" s="83"/>
    </row>
    <row r="105" s="77" customFormat="1" ht="22" customHeight="1" spans="1:9">
      <c r="B105" s="82"/>
      <c r="C105" s="82"/>
      <c r="D105" s="82"/>
      <c r="I105" s="83"/>
    </row>
    <row r="106" spans="1:9">
      <c r="C106" s="82"/>
      <c r="D106" s="82"/>
      <c r="E106" s="77"/>
      <c r="F106" s="77"/>
      <c r="G106" s="77"/>
      <c r="H106" s="77"/>
    </row>
    <row r="107" ht="20.5" customHeight="1" spans="1:9">
      <c r="A107" s="97"/>
      <c r="C107" s="82"/>
      <c r="D107" s="82"/>
      <c r="E107" s="77"/>
      <c r="F107" s="77"/>
      <c r="G107" s="77"/>
      <c r="H107" s="77"/>
    </row>
    <row r="108" ht="20.5" customHeight="1" spans="1:9">
      <c r="A108" s="86" t="s">
        <v>55</v>
      </c>
    </row>
    <row r="109" ht="20.5" customHeight="1" spans="1:9">
      <c r="A109" s="77"/>
    </row>
    <row r="110" ht="20.5" customHeight="1" spans="1:9">
      <c r="A110" s="77"/>
    </row>
    <row r="111" ht="20.5" customHeight="1" spans="1:9">
      <c r="A111" s="77"/>
    </row>
    <row r="112" ht="20.5" customHeight="1" spans="1:9">
      <c r="A112" s="77"/>
    </row>
    <row r="113" ht="20.5" customHeight="1" spans="1:6">
      <c r="A113" s="77"/>
      <c r="F113" s="98"/>
    </row>
    <row r="114" ht="20.5" customHeight="1" spans="1:6">
      <c r="A114" s="77"/>
    </row>
    <row r="115" ht="20.5" customHeight="1" spans="1:6">
      <c r="A115" s="77"/>
    </row>
    <row r="117" spans="1:6">
      <c r="A117" s="99"/>
    </row>
    <row r="118" spans="1:6">
      <c r="A118" s="86" t="s">
        <v>55</v>
      </c>
    </row>
    <row r="119" spans="1:6">
      <c r="A119" s="77"/>
    </row>
    <row r="120" spans="1:6">
      <c r="A120" s="77"/>
    </row>
    <row r="121" spans="1:6">
      <c r="A121" s="77"/>
    </row>
    <row r="122" spans="1:6">
      <c r="A122" s="77"/>
    </row>
    <row r="123" spans="1:6">
      <c r="A123" s="77"/>
    </row>
    <row r="124" spans="1:6">
      <c r="A124" s="77"/>
    </row>
    <row r="125" spans="1:6">
      <c r="A125" s="77"/>
    </row>
    <row r="127" spans="1:6">
      <c r="A127" s="99"/>
    </row>
    <row r="128" spans="1:6">
      <c r="A128" s="86" t="s">
        <v>55</v>
      </c>
    </row>
    <row r="129" spans="1:1">
      <c r="A129" s="77"/>
    </row>
    <row r="130" spans="1:1">
      <c r="A130" s="77"/>
    </row>
    <row r="131" spans="1:1">
      <c r="A131" s="77"/>
    </row>
    <row r="132" spans="1:1">
      <c r="A132" s="77"/>
    </row>
    <row r="133" spans="1:1">
      <c r="A133" s="77"/>
    </row>
    <row r="134" spans="1:1">
      <c r="A134" s="77"/>
    </row>
    <row r="135" spans="1:1">
      <c r="A135" s="77"/>
    </row>
    <row r="137" spans="1:1">
      <c r="A137" s="99"/>
    </row>
    <row r="138" spans="1:1">
      <c r="A138" s="86" t="s">
        <v>55</v>
      </c>
    </row>
    <row r="139" spans="1:1">
      <c r="A139" s="77"/>
    </row>
    <row r="140" spans="1:1">
      <c r="A140" s="77"/>
    </row>
    <row r="141" spans="1:1">
      <c r="A141" s="77"/>
    </row>
    <row r="142" spans="1:1">
      <c r="A142" s="77"/>
    </row>
    <row r="143" spans="1:1">
      <c r="A143" s="77"/>
    </row>
    <row r="144" spans="1:1">
      <c r="A144" s="77"/>
    </row>
    <row r="145" spans="1:1">
      <c r="A145" s="77"/>
    </row>
    <row r="148" spans="1:1">
      <c r="A148" s="99"/>
    </row>
    <row r="149" spans="1:1">
      <c r="A149" s="86" t="s">
        <v>55</v>
      </c>
    </row>
    <row r="150" spans="1:1">
      <c r="A150" s="77"/>
    </row>
    <row r="151" spans="1:1">
      <c r="A151" s="77"/>
    </row>
    <row r="152" spans="1:1">
      <c r="A152" s="77"/>
    </row>
    <row r="153" spans="1:1">
      <c r="A153" s="77"/>
    </row>
    <row r="154" spans="1:1">
      <c r="A154" s="77"/>
    </row>
    <row r="155" spans="1:1">
      <c r="A155" s="77"/>
    </row>
    <row r="156" spans="1:1">
      <c r="A156" s="77"/>
    </row>
    <row r="158" spans="1:1">
      <c r="A158" s="99"/>
    </row>
    <row r="159" spans="1:1">
      <c r="A159" s="86" t="s">
        <v>55</v>
      </c>
    </row>
    <row r="160" spans="1:1">
      <c r="A160" s="77"/>
    </row>
    <row r="161" spans="1:1">
      <c r="A161" s="77"/>
    </row>
    <row r="162" spans="1:1">
      <c r="A162" s="77"/>
    </row>
    <row r="163" spans="1:1">
      <c r="A163" s="77"/>
    </row>
    <row r="164" spans="1:1">
      <c r="A164" s="77"/>
    </row>
    <row r="165" spans="1:1">
      <c r="A165" s="77"/>
    </row>
    <row r="166" spans="1:1">
      <c r="A166" s="77"/>
    </row>
    <row r="168" spans="1:1">
      <c r="A168" s="99"/>
    </row>
    <row r="169" spans="1:1">
      <c r="A169" s="86" t="s">
        <v>55</v>
      </c>
    </row>
    <row r="170" spans="1:1">
      <c r="A170" s="77"/>
    </row>
    <row r="171" spans="1:1">
      <c r="A171" s="77"/>
    </row>
    <row r="172" spans="1:1">
      <c r="A172" s="77"/>
    </row>
    <row r="173" spans="1:1">
      <c r="A173" s="77"/>
    </row>
    <row r="174" spans="1:1">
      <c r="A174" s="77"/>
    </row>
    <row r="175" spans="1:1">
      <c r="A175" s="77"/>
    </row>
    <row r="176" spans="1:1">
      <c r="A176" s="77"/>
    </row>
  </sheetData>
  <mergeCells count="1">
    <mergeCell ref="A1:A2"/>
  </mergeCells>
  <conditionalFormatting sqref="A8">
    <cfRule type="dataBar" priority="45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{25b7eac8-4f74-42bd-998e-fc8c1a0fb9bd}</x14:id>
        </ext>
      </extLst>
    </cfRule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{7298ccc7-7aff-4812-a04e-5e4304cfd5fa}</x14:id>
        </ext>
      </extLst>
    </cfRule>
  </conditionalFormatting>
  <conditionalFormatting sqref="A25">
    <cfRule type="dataBar" priority="43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{edfd7ac9-0880-4c31-92b2-ae6a57db2ba7}</x14:id>
        </ext>
      </extLst>
    </cfRule>
    <cfRule type="dataBar" priority="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{cda5a335-9e57-46c7-a2d0-e1064dc509f3}</x14:id>
        </ext>
      </extLst>
    </cfRule>
  </conditionalFormatting>
  <conditionalFormatting sqref="A6:A7 A9:A10">
    <cfRule type="dataBar" priority="49">
      <dataBar>
        <cfvo type="num" val="0"/>
        <cfvo type="num" val="1"/>
        <color theme="4" tint="0.399945066682943"/>
      </dataBar>
      <extLst>
        <ext xmlns:x14="http://schemas.microsoft.com/office/spreadsheetml/2009/9/main" uri="{B025F937-C7B1-47D3-B67F-A62EFF666E3E}">
          <x14:id>{1eb9bbc6-6ddc-4c31-8684-5ce3d9c39b14}</x14:id>
        </ext>
      </extLst>
    </cfRule>
    <cfRule type="dataBar" priority="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{7cea790c-fe29-46fe-8f8f-fe474b5e7327}</x14:id>
        </ext>
      </extLst>
    </cfRule>
  </conditionalFormatting>
  <conditionalFormatting sqref="A23:A24 A26:A27">
    <cfRule type="iconSet" priority="5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b7eac8-4f74-42bd-998e-fc8c1a0fb9b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98ccc7-7aff-4812-a04e-5e4304cfd5f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A8</xm:sqref>
        </x14:conditionalFormatting>
        <x14:conditionalFormatting xmlns:xm="http://schemas.microsoft.com/office/excel/2006/main">
          <x14:cfRule type="dataBar" id="{edfd7ac9-0880-4c31-92b2-ae6a57db2ba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a5a335-9e57-46c7-a2d0-e1064dc509f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A25</xm:sqref>
        </x14:conditionalFormatting>
        <x14:conditionalFormatting xmlns:xm="http://schemas.microsoft.com/office/excel/2006/main">
          <x14:cfRule type="dataBar" id="{1eb9bbc6-6ddc-4c31-8684-5ce3d9c39b1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ea790c-fe29-46fe-8f8f-fe474b5e732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A6:A7 A9:A10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数据2!D4:E4</xm:f>
              <xm:sqref>A8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数据2!D25:E25</xm:f>
              <xm:sqref>A9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数据2!D45:E45</xm:f>
              <xm:sqref>A10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数据2!D5:E5</xm:f>
              <xm:sqref>A25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数据2!D26:E26</xm:f>
              <xm:sqref>A26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数据2!D46:E46</xm:f>
              <xm:sqref>A27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数据2!D6:E6</xm:f>
              <xm:sqref>A35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数据2!D27:E27</xm:f>
              <xm:sqref>A36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数据2!D47:E47</xm:f>
              <xm:sqref>A37</xm:sqref>
            </x14:sparkline>
            <x14:sparkline>
              <xm:f>数据2!D48:E48</xm:f>
              <xm:sqref>A38</xm:sqref>
            </x14:sparkline>
            <x14:sparkline>
              <xm:f>数据2!D49:E49</xm:f>
              <xm:sqref>A39</xm:sqref>
            </x14:sparkline>
            <x14:sparkline>
              <xm:f>数据2!D50:E50</xm:f>
              <xm:sqref>A40</xm:sqref>
            </x14:sparkline>
            <x14:sparkline>
              <xm:f>数据2!D51:E51</xm:f>
              <xm:sqref>A42</xm:sqref>
            </x14:sparkline>
            <x14:sparkline>
              <xm:f>数据2!D51:E51</xm:f>
              <xm:sqref>A41</xm:sqref>
            </x14:sparkline>
            <x14:sparkline>
              <xm:f>数据2!D52:E52</xm:f>
              <xm:sqref>A43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数据2!D7:E7</xm:f>
              <xm:sqref>A51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数据2!D28:E28</xm:f>
              <xm:sqref>A52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数据2!D48:E48</xm:f>
              <xm:sqref>A53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数据2!D8:E8</xm:f>
              <xm:sqref>A61</xm:sqref>
            </x14:sparkline>
          </x14:sparklines>
        </x14:sparklineGroup>
        <x14:sparklineGroup type="line" displayEmptyCellsAs="gap" first="1" last="1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数据2!D29:E29</xm:f>
              <xm:sqref>A62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数据2!D49:E49</xm:f>
              <xm:sqref>A63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数据2!D9:E9</xm:f>
              <xm:sqref>A71</xm:sqref>
            </x14:sparkline>
          </x14:sparklines>
        </x14:sparklineGroup>
        <x14:sparklineGroup type="line" displayEmptyCellsAs="gap" first="1" last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数据2!D30:E30</xm:f>
              <xm:sqref>A72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数据2!D50:E50</xm:f>
              <xm:sqref>A73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数据2!D10:E10</xm:f>
              <xm:sqref>A81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数据2!D31:E31</xm:f>
              <xm:sqref>A82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数据2!D51:E51</xm:f>
              <xm:sqref>A83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数据2!D11:E11</xm:f>
              <xm:sqref>A91</xm:sqref>
            </x14:sparkline>
          </x14:sparklines>
        </x14:sparklineGroup>
        <x14:sparklineGroup type="line" displayEmptyCellsAs="gap" first="1" last="1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数据2!D32:E32</xm:f>
              <xm:sqref>A92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数据2!D52:E52</xm:f>
              <xm:sqref>A93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数据2!D14:E14</xm:f>
              <xm:sqref>A101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数据2!D34:E34</xm:f>
              <xm:sqref>A102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数据2!D54:E54</xm:f>
              <xm:sqref>A103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数据2!D31:E31</xm:f>
              <xm:sqref>A111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数据2!D51:E51</xm:f>
              <xm:sqref>A112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数据2!D64:E64</xm:f>
              <xm:sqref>A113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数据2!D48:E48</xm:f>
              <xm:sqref>A121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数据2!D61:E61</xm:f>
              <xm:sqref>A122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数据2!D74:E74</xm:f>
              <xm:sqref>A123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数据2!D58:E58</xm:f>
              <xm:sqref>A131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数据2!D71:E71</xm:f>
              <xm:sqref>A132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数据2!D84:E84</xm:f>
              <xm:sqref>A133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数据2!D68:E68</xm:f>
              <xm:sqref>A141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数据2!D81:E81</xm:f>
              <xm:sqref>A142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数据2!D94:E94</xm:f>
              <xm:sqref>A143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数据2!D79:E79</xm:f>
              <xm:sqref>A152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数据2!D92:E92</xm:f>
              <xm:sqref>A153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数据2!D105:E105</xm:f>
              <xm:sqref>A154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数据2!D89:E89</xm:f>
              <xm:sqref>A162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数据2!D102:E102</xm:f>
              <xm:sqref>A163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数据2!D115:E115</xm:f>
              <xm:sqref>A164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数据2!D99:E99</xm:f>
              <xm:sqref>A172</xm:sqref>
            </x14:sparkline>
          </x14:sparklines>
        </x14:sparklineGroup>
        <x14:sparklineGroup type="line" displayEmptyCellsAs="gap" high="1" low="1" first="1" last="1">
          <x14:colorSeries theme="8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theme="8" tint="-0.249977111117893"/>
          <x14:sparklines>
            <x14:sparkline>
              <xm:f>数据2!D112:E112</xm:f>
              <xm:sqref>A173</xm:sqref>
            </x14:sparkline>
          </x14:sparklines>
        </x14:sparklineGroup>
        <x14:sparklineGroup type="line" displayEmptyCellsAs="gap" first="1" last="1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数据2!D125:E125</xm:f>
              <xm:sqref>A174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"/>
  <sheetViews>
    <sheetView zoomScale="60" zoomScaleNormal="60" topLeftCell="A106" workbookViewId="0">
      <selection activeCell="D124" sqref="D124:E124"/>
    </sheetView>
  </sheetViews>
  <sheetFormatPr defaultColWidth="11" defaultRowHeight="14" outlineLevelCol="6"/>
  <cols>
    <col min="1" max="1" width="11" style="45"/>
    <col min="2" max="2" width="11" style="55"/>
  </cols>
  <sheetData>
    <row r="1" spans="1:7">
      <c r="A1" s="56">
        <v>5</v>
      </c>
      <c r="B1" s="57"/>
      <c r="C1" s="57"/>
      <c r="D1" s="57"/>
      <c r="E1" s="57"/>
      <c r="F1" s="57"/>
      <c r="G1" s="57"/>
    </row>
    <row r="2" spans="1:7">
      <c r="A2" s="56" t="str">
        <f>'总表-数据收集'!B5</f>
        <v>花都广本</v>
      </c>
      <c r="B2" s="57"/>
      <c r="C2" s="57"/>
      <c r="D2" s="57"/>
      <c r="E2" s="57"/>
      <c r="F2" s="57"/>
      <c r="G2" s="57"/>
    </row>
    <row r="3" spans="1:7">
      <c r="A3" s="56"/>
      <c r="B3" s="57"/>
      <c r="C3" s="43" t="s">
        <v>108</v>
      </c>
      <c r="D3" s="44" t="s">
        <v>109</v>
      </c>
      <c r="E3" s="44" t="s">
        <v>110</v>
      </c>
      <c r="F3" s="44"/>
      <c r="G3" s="44"/>
    </row>
    <row r="4" spans="1:7">
      <c r="A4" s="56"/>
      <c r="B4" s="44" t="s">
        <v>40</v>
      </c>
      <c r="C4" s="57">
        <f>'总表-数据收集'!AI5</f>
        <v>3099</v>
      </c>
      <c r="D4" s="57">
        <f>'总表-数据收集'!BH5</f>
        <v>1529</v>
      </c>
      <c r="E4" s="57">
        <f>'总表-数据收集'!CG5</f>
        <v>1277</v>
      </c>
      <c r="F4" s="57">
        <f>'总表-数据收集'!DF5</f>
        <v>731</v>
      </c>
      <c r="G4" s="57">
        <f>'总表-数据收集'!EE5</f>
        <v>1126</v>
      </c>
    </row>
    <row r="5" spans="1:7">
      <c r="A5" s="56"/>
      <c r="B5" s="44" t="s">
        <v>63</v>
      </c>
      <c r="C5" s="57">
        <f>'总表-数据收集'!AS5</f>
        <v>77</v>
      </c>
      <c r="D5" s="57">
        <f>'总表-数据收集'!BR5</f>
        <v>22</v>
      </c>
      <c r="E5" s="57">
        <f>'总表-数据收集'!CQ5</f>
        <v>29</v>
      </c>
      <c r="F5" s="57">
        <f>'总表-数据收集'!DP5</f>
        <v>22</v>
      </c>
      <c r="G5" s="57">
        <f>'总表-数据收集'!EO5</f>
        <v>22</v>
      </c>
    </row>
    <row r="6" spans="1:7">
      <c r="A6" s="56"/>
      <c r="B6" s="44" t="s">
        <v>64</v>
      </c>
      <c r="C6" s="57">
        <f>'总表-数据收集'!AT5</f>
        <v>36</v>
      </c>
      <c r="D6" s="57">
        <f>'总表-数据收集'!BS5</f>
        <v>4</v>
      </c>
      <c r="E6" s="57">
        <f>'总表-数据收集'!CR5</f>
        <v>9</v>
      </c>
      <c r="F6" s="57">
        <f>'总表-数据收集'!DQ5</f>
        <v>7</v>
      </c>
      <c r="G6" s="57">
        <f>'总表-数据收集'!EP5</f>
        <v>10</v>
      </c>
    </row>
    <row r="9" spans="1:7">
      <c r="A9" s="56">
        <v>6</v>
      </c>
      <c r="B9" s="57"/>
      <c r="C9" s="57"/>
      <c r="D9" s="57"/>
      <c r="E9" s="57"/>
      <c r="F9" s="57"/>
      <c r="G9" s="57"/>
    </row>
    <row r="10" spans="1:7">
      <c r="A10" s="56" t="str">
        <f>'总表-数据收集'!B6</f>
        <v>花都建设北零跑</v>
      </c>
      <c r="B10" s="57"/>
      <c r="C10" s="57"/>
      <c r="D10" s="57"/>
      <c r="E10" s="57"/>
      <c r="F10" s="57"/>
      <c r="G10" s="57"/>
    </row>
    <row r="11" spans="1:7">
      <c r="A11" s="56"/>
      <c r="B11" s="57"/>
      <c r="C11" s="43" t="s">
        <v>108</v>
      </c>
      <c r="D11" s="44" t="s">
        <v>109</v>
      </c>
      <c r="E11" s="44" t="s">
        <v>110</v>
      </c>
      <c r="F11" s="44"/>
      <c r="G11" s="44"/>
    </row>
    <row r="12" spans="1:7">
      <c r="A12" s="56"/>
      <c r="B12" s="44" t="s">
        <v>40</v>
      </c>
      <c r="C12" s="57">
        <f>'总表-数据收集'!AI6</f>
        <v>869</v>
      </c>
      <c r="D12" s="57">
        <f>'总表-数据收集'!BH6</f>
        <v>495</v>
      </c>
      <c r="E12" s="57">
        <f>'总表-数据收集'!CG6</f>
        <v>1446</v>
      </c>
      <c r="F12" s="57">
        <f>'总表-数据收集'!DF6</f>
        <v>1054</v>
      </c>
      <c r="G12" s="57">
        <f>'总表-数据收集'!EE6</f>
        <v>1412</v>
      </c>
    </row>
    <row r="13" spans="1:7">
      <c r="A13" s="56"/>
      <c r="B13" s="44" t="s">
        <v>63</v>
      </c>
      <c r="C13" s="57">
        <f>'总表-数据收集'!AS6</f>
        <v>25</v>
      </c>
      <c r="D13" s="57">
        <f>'总表-数据收集'!BR6</f>
        <v>13</v>
      </c>
      <c r="E13" s="57">
        <f>'总表-数据收集'!CQ6</f>
        <v>26</v>
      </c>
      <c r="F13" s="57">
        <f>'总表-数据收集'!DP7</f>
        <v>60</v>
      </c>
      <c r="G13" s="57">
        <f>'总表-数据收集'!EO6</f>
        <v>44</v>
      </c>
    </row>
    <row r="14" spans="1:7">
      <c r="A14" s="56"/>
      <c r="B14" s="44" t="s">
        <v>64</v>
      </c>
      <c r="C14" s="57">
        <f>'总表-数据收集'!AT6</f>
        <v>6</v>
      </c>
      <c r="D14" s="57">
        <f>'总表-数据收集'!BS7</f>
        <v>13</v>
      </c>
      <c r="E14" s="57">
        <f>'总表-数据收集'!CR7</f>
        <v>17</v>
      </c>
      <c r="F14" s="57">
        <f>'总表-数据收集'!DQ7</f>
        <v>16</v>
      </c>
      <c r="G14" s="57">
        <f>'总表-数据收集'!EP6</f>
        <v>18</v>
      </c>
    </row>
    <row r="15" spans="1:7">
      <c r="A15" s="58"/>
      <c r="B15" s="59"/>
      <c r="C15" s="60"/>
      <c r="D15" s="60"/>
      <c r="E15" s="60"/>
      <c r="F15" s="60"/>
      <c r="G15" s="60"/>
    </row>
    <row r="16" spans="1:7">
      <c r="A16" s="58"/>
      <c r="B16" s="59"/>
      <c r="C16" s="60"/>
      <c r="D16" s="60"/>
      <c r="E16" s="60"/>
      <c r="F16" s="60"/>
      <c r="G16" s="60"/>
    </row>
    <row r="17" spans="1:7">
      <c r="A17" s="56">
        <v>7</v>
      </c>
      <c r="B17" s="57"/>
      <c r="C17" s="57"/>
      <c r="D17" s="57"/>
      <c r="E17" s="57"/>
      <c r="F17" s="57"/>
      <c r="G17" s="57"/>
    </row>
    <row r="18" spans="1:7">
      <c r="A18" s="56" t="str">
        <f>'总表-数据收集'!B7</f>
        <v>白云零跑</v>
      </c>
      <c r="B18" s="57"/>
      <c r="C18" s="57"/>
      <c r="D18" s="57"/>
      <c r="E18" s="57"/>
      <c r="F18" s="57"/>
      <c r="G18" s="57"/>
    </row>
    <row r="19" spans="1:7">
      <c r="A19" s="56"/>
      <c r="B19" s="57"/>
      <c r="C19" s="43" t="s">
        <v>108</v>
      </c>
      <c r="D19" s="44" t="s">
        <v>109</v>
      </c>
      <c r="E19" s="44" t="s">
        <v>110</v>
      </c>
      <c r="F19" s="44"/>
      <c r="G19" s="44"/>
    </row>
    <row r="20" spans="1:7">
      <c r="A20" s="56"/>
      <c r="B20" s="44" t="s">
        <v>40</v>
      </c>
      <c r="C20" s="57">
        <f>'总表-数据收集'!AI7</f>
        <v>1160</v>
      </c>
      <c r="D20" s="57">
        <f>'总表-数据收集'!BH7</f>
        <v>681</v>
      </c>
      <c r="E20" s="57">
        <f>'总表-数据收集'!CG7</f>
        <v>902</v>
      </c>
      <c r="F20" s="57">
        <f>'总表-数据收集'!DF7</f>
        <v>1112</v>
      </c>
      <c r="G20" s="57">
        <f>'总表-数据收集'!EE7</f>
        <v>1084</v>
      </c>
    </row>
    <row r="21" spans="1:7">
      <c r="A21" s="56"/>
      <c r="B21" s="44" t="s">
        <v>63</v>
      </c>
      <c r="C21" s="57">
        <f>'总表-数据收集'!AS7</f>
        <v>27</v>
      </c>
      <c r="D21" s="57">
        <f>'总表-数据收集'!BR7</f>
        <v>21</v>
      </c>
      <c r="E21" s="57">
        <f>'总表-数据收集'!CQ7</f>
        <v>31</v>
      </c>
      <c r="F21" s="57">
        <f>'总表-数据收集'!DP7</f>
        <v>60</v>
      </c>
      <c r="G21" s="57">
        <f>'总表-数据收集'!EO7</f>
        <v>61</v>
      </c>
    </row>
    <row r="22" spans="1:7">
      <c r="A22" s="56"/>
      <c r="B22" s="44" t="s">
        <v>64</v>
      </c>
      <c r="C22" s="57">
        <f>'总表-数据收集'!AT7</f>
        <v>6</v>
      </c>
      <c r="D22" s="57">
        <f>'总表-数据收集'!BS7</f>
        <v>13</v>
      </c>
      <c r="E22" s="57">
        <f>'总表-数据收集'!CR7</f>
        <v>17</v>
      </c>
      <c r="F22" s="57">
        <f>'总表-数据收集'!DQ2</f>
        <v>0</v>
      </c>
      <c r="G22" s="57">
        <f>'总表-数据收集'!EP7</f>
        <v>20</v>
      </c>
    </row>
    <row r="24" spans="1:7">
      <c r="A24" s="56">
        <v>8</v>
      </c>
      <c r="B24" s="57"/>
      <c r="C24" s="57"/>
      <c r="D24" s="57"/>
      <c r="E24" s="57"/>
      <c r="F24" s="57"/>
      <c r="G24" s="57"/>
    </row>
    <row r="25" spans="1:7">
      <c r="A25" s="56" t="str">
        <f>'总表-数据收集'!B8</f>
        <v>花都传祺</v>
      </c>
      <c r="B25" s="57"/>
      <c r="C25" s="57"/>
      <c r="D25" s="57"/>
      <c r="E25" s="57"/>
      <c r="F25" s="57"/>
      <c r="G25" s="57"/>
    </row>
    <row r="26" spans="1:7">
      <c r="A26" s="56"/>
      <c r="B26" s="57"/>
      <c r="C26" s="43" t="s">
        <v>108</v>
      </c>
      <c r="D26" s="44" t="s">
        <v>109</v>
      </c>
      <c r="E26" s="44" t="s">
        <v>110</v>
      </c>
      <c r="F26" s="44"/>
      <c r="G26" s="44"/>
    </row>
    <row r="27" spans="1:7">
      <c r="A27" s="56"/>
      <c r="B27" s="44" t="s">
        <v>40</v>
      </c>
      <c r="C27" s="57">
        <f>'总表-数据收集'!AI8</f>
        <v>579</v>
      </c>
      <c r="D27" s="57">
        <f>'总表-数据收集'!BH8</f>
        <v>302</v>
      </c>
      <c r="E27" s="57">
        <f>'总表-数据收集'!CG8</f>
        <v>870</v>
      </c>
      <c r="F27" s="57">
        <f>'总表-数据收集'!DF8</f>
        <v>557</v>
      </c>
      <c r="G27" s="57">
        <f>'总表-数据收集'!EE8</f>
        <v>682</v>
      </c>
    </row>
    <row r="28" spans="1:7">
      <c r="A28" s="56"/>
      <c r="B28" s="44" t="s">
        <v>63</v>
      </c>
      <c r="C28" s="57">
        <f>'总表-数据收集'!AS8</f>
        <v>22</v>
      </c>
      <c r="D28" s="57">
        <f>'总表-数据收集'!BR8</f>
        <v>8</v>
      </c>
      <c r="E28" s="57">
        <f>'总表-数据收集'!CQ8</f>
        <v>27</v>
      </c>
      <c r="F28" s="57">
        <f>'总表-数据收集'!DP8</f>
        <v>15</v>
      </c>
      <c r="G28" s="57">
        <f>'总表-数据收集'!EO8</f>
        <v>30</v>
      </c>
    </row>
    <row r="29" spans="1:7">
      <c r="A29" s="56"/>
      <c r="B29" s="44" t="s">
        <v>64</v>
      </c>
      <c r="C29" s="57">
        <f>'总表-数据收集'!AT8</f>
        <v>7</v>
      </c>
      <c r="D29" s="57">
        <f>'总表-数据收集'!BS8</f>
        <v>3</v>
      </c>
      <c r="E29" s="57">
        <f>'总表-数据收集'!CR8</f>
        <v>7</v>
      </c>
      <c r="F29" s="57">
        <f>'总表-数据收集'!DQ8</f>
        <v>3</v>
      </c>
      <c r="G29" s="57">
        <f>'总表-数据收集'!EP8</f>
        <v>8</v>
      </c>
    </row>
    <row r="31" spans="1:7">
      <c r="A31" s="56">
        <v>9</v>
      </c>
      <c r="B31" s="57"/>
      <c r="C31" s="57"/>
      <c r="D31" s="57"/>
      <c r="E31" s="57"/>
      <c r="F31" s="57"/>
      <c r="G31" s="57"/>
    </row>
    <row r="32" spans="1:7">
      <c r="A32" s="56" t="str">
        <f>'总表-数据收集'!B9</f>
        <v>清远极氪</v>
      </c>
      <c r="B32" s="57"/>
      <c r="C32" s="57"/>
      <c r="D32" s="57"/>
      <c r="E32" s="57"/>
      <c r="F32" s="57"/>
      <c r="G32" s="57"/>
    </row>
    <row r="33" spans="1:7">
      <c r="A33" s="56"/>
      <c r="B33" s="57"/>
      <c r="C33" s="43" t="s">
        <v>108</v>
      </c>
      <c r="D33" s="44" t="s">
        <v>109</v>
      </c>
      <c r="E33" s="44" t="s">
        <v>110</v>
      </c>
      <c r="F33" s="44"/>
      <c r="G33" s="44"/>
    </row>
    <row r="34" spans="1:7">
      <c r="A34" s="56"/>
      <c r="B34" s="44" t="s">
        <v>40</v>
      </c>
      <c r="C34" s="57">
        <f>'总表-数据收集'!AI9</f>
        <v>68</v>
      </c>
      <c r="D34" s="57">
        <f>'总表-数据收集'!BH9</f>
        <v>369</v>
      </c>
      <c r="E34" s="57">
        <f>'总表-数据收集'!CG9</f>
        <v>345</v>
      </c>
      <c r="F34" s="57">
        <f>'总表-数据收集'!DF9</f>
        <v>384</v>
      </c>
      <c r="G34" s="57">
        <f>'总表-数据收集'!EE9</f>
        <v>408</v>
      </c>
    </row>
    <row r="35" spans="1:7">
      <c r="A35" s="56"/>
      <c r="B35" s="44" t="s">
        <v>63</v>
      </c>
      <c r="C35" s="57">
        <f>'总表-数据收集'!AS9</f>
        <v>10</v>
      </c>
      <c r="D35" s="57">
        <f>'总表-数据收集'!BR9</f>
        <v>16</v>
      </c>
      <c r="E35" s="57">
        <f>'总表-数据收集'!CQ9</f>
        <v>18</v>
      </c>
      <c r="F35" s="57">
        <f>'总表-数据收集'!DP9</f>
        <v>25</v>
      </c>
      <c r="G35" s="57">
        <f>'总表-数据收集'!EO9</f>
        <v>33</v>
      </c>
    </row>
    <row r="36" spans="1:7">
      <c r="A36" s="56"/>
      <c r="B36" s="44" t="s">
        <v>64</v>
      </c>
      <c r="C36" s="57">
        <f>'总表-数据收集'!AT9</f>
        <v>1</v>
      </c>
      <c r="D36" s="57">
        <f>'总表-数据收集'!BS9</f>
        <v>0</v>
      </c>
      <c r="E36" s="57">
        <f>'总表-数据收集'!CR9</f>
        <v>2</v>
      </c>
      <c r="F36" s="57">
        <f>'总表-数据收集'!DQ9</f>
        <v>2</v>
      </c>
      <c r="G36" s="57">
        <f>'总表-数据收集'!EP9</f>
        <v>6</v>
      </c>
    </row>
    <row r="38" spans="1:7">
      <c r="A38" s="56">
        <v>10</v>
      </c>
      <c r="B38" s="57"/>
      <c r="C38" s="57"/>
      <c r="D38" s="57"/>
      <c r="E38" s="57"/>
      <c r="F38" s="57"/>
      <c r="G38" s="57"/>
    </row>
    <row r="39" spans="1:7">
      <c r="A39" s="56" t="str">
        <f>'总表-数据收集'!B10</f>
        <v>清远广本</v>
      </c>
      <c r="B39" s="57"/>
      <c r="C39" s="57"/>
      <c r="D39" s="57"/>
      <c r="E39" s="57"/>
      <c r="F39" s="57"/>
      <c r="G39" s="57"/>
    </row>
    <row r="40" spans="1:7">
      <c r="A40" s="56"/>
      <c r="B40" s="57"/>
      <c r="C40" s="43" t="s">
        <v>108</v>
      </c>
      <c r="D40" s="44" t="s">
        <v>109</v>
      </c>
      <c r="E40" s="44" t="s">
        <v>110</v>
      </c>
      <c r="F40" s="44"/>
      <c r="G40" s="44"/>
    </row>
    <row r="41" spans="1:7">
      <c r="A41" s="56"/>
      <c r="B41" s="44" t="s">
        <v>40</v>
      </c>
      <c r="C41" s="57">
        <f>'总表-数据收集'!AI10</f>
        <v>683</v>
      </c>
      <c r="D41" s="57">
        <f>'总表-数据收集'!BH10</f>
        <v>765</v>
      </c>
      <c r="E41" s="57">
        <f>'总表-数据收集'!CG10</f>
        <v>867</v>
      </c>
      <c r="F41" s="57">
        <f>'总表-数据收集'!DF10</f>
        <v>593</v>
      </c>
      <c r="G41" s="57">
        <f>'总表-数据收集'!EE10</f>
        <v>525</v>
      </c>
    </row>
    <row r="42" spans="1:7">
      <c r="A42" s="56"/>
      <c r="B42" s="44" t="s">
        <v>63</v>
      </c>
      <c r="C42" s="57">
        <f>'总表-数据收集'!AS10</f>
        <v>41</v>
      </c>
      <c r="D42" s="57">
        <f>'总表-数据收集'!BR10</f>
        <v>29</v>
      </c>
      <c r="E42" s="57">
        <f>'总表-数据收集'!CQ10</f>
        <v>50</v>
      </c>
      <c r="F42" s="57">
        <f>'总表-数据收集'!DP10</f>
        <v>33</v>
      </c>
      <c r="G42" s="57">
        <f>'总表-数据收集'!EO10</f>
        <v>42</v>
      </c>
    </row>
    <row r="43" spans="1:7">
      <c r="A43" s="61"/>
      <c r="B43" s="62" t="s">
        <v>64</v>
      </c>
      <c r="C43" s="63">
        <f>'总表-数据收集'!AT10</f>
        <v>11</v>
      </c>
      <c r="D43" s="63">
        <f>'总表-数据收集'!BS10</f>
        <v>5</v>
      </c>
      <c r="E43" s="57">
        <f>'总表-数据收集'!CR10</f>
        <v>9</v>
      </c>
      <c r="F43" s="57">
        <f>'总表-数据收集'!DQ10</f>
        <v>7</v>
      </c>
      <c r="G43" s="57">
        <f>'总表-数据收集'!EP10</f>
        <v>10</v>
      </c>
    </row>
    <row r="44" spans="1:7">
      <c r="A44" s="64"/>
      <c r="B44" s="65"/>
      <c r="C44" s="66"/>
      <c r="D44" s="66"/>
      <c r="E44" s="66"/>
      <c r="F44" s="66"/>
      <c r="G44" s="66"/>
    </row>
    <row r="45" spans="1:7">
      <c r="A45" s="67">
        <v>11</v>
      </c>
      <c r="B45" s="68"/>
      <c r="C45" s="69"/>
      <c r="D45" s="69"/>
      <c r="E45" s="69"/>
      <c r="F45" s="69"/>
      <c r="G45" s="69"/>
    </row>
    <row r="46" spans="1:7">
      <c r="A46" s="56" t="str">
        <f>'总表-数据收集'!B11</f>
        <v>鑫海广本</v>
      </c>
      <c r="B46" s="57"/>
      <c r="C46" s="70"/>
      <c r="D46" s="70"/>
      <c r="E46" s="70"/>
      <c r="F46" s="70"/>
      <c r="G46" s="70"/>
    </row>
    <row r="47" spans="1:7">
      <c r="A47" s="71"/>
      <c r="B47" s="57"/>
      <c r="C47" s="43" t="s">
        <v>108</v>
      </c>
      <c r="D47" s="44" t="s">
        <v>109</v>
      </c>
      <c r="E47" s="44" t="s">
        <v>110</v>
      </c>
      <c r="F47" s="44"/>
      <c r="G47" s="44"/>
    </row>
    <row r="48" spans="1:7">
      <c r="A48" s="71"/>
      <c r="B48" s="44" t="s">
        <v>40</v>
      </c>
      <c r="C48" s="70">
        <f>'总表-数据收集'!AI11</f>
        <v>502</v>
      </c>
      <c r="D48" s="57">
        <f>'总表-数据收集'!BH11</f>
        <v>181</v>
      </c>
      <c r="E48" s="57">
        <f>'总表-数据收集'!CG11</f>
        <v>394</v>
      </c>
      <c r="F48" s="57">
        <f>'总表-数据收集'!DF11</f>
        <v>316</v>
      </c>
      <c r="G48" s="57">
        <f>'总表-数据收集'!EE11</f>
        <v>375</v>
      </c>
    </row>
    <row r="49" spans="1:7">
      <c r="A49" s="71"/>
      <c r="B49" s="44" t="s">
        <v>63</v>
      </c>
      <c r="C49" s="70">
        <f>'总表-数据收集'!AS11</f>
        <v>76</v>
      </c>
      <c r="D49" s="57">
        <f>'总表-数据收集'!BR11</f>
        <v>27</v>
      </c>
      <c r="E49" s="57">
        <f>'总表-数据收集'!CQ11</f>
        <v>52</v>
      </c>
      <c r="F49" s="57">
        <f>'总表-数据收集'!DP11</f>
        <v>37</v>
      </c>
      <c r="G49" s="57">
        <f>'总表-数据收集'!EO11</f>
        <v>50</v>
      </c>
    </row>
    <row r="50" spans="1:7">
      <c r="A50" s="71"/>
      <c r="B50" s="44" t="s">
        <v>64</v>
      </c>
      <c r="C50" s="70">
        <f>'总表-数据收集'!AT11</f>
        <v>15</v>
      </c>
      <c r="D50" s="57">
        <f>'总表-数据收集'!BS11</f>
        <v>7</v>
      </c>
      <c r="E50" s="57">
        <f>'总表-数据收集'!CR11</f>
        <v>10</v>
      </c>
      <c r="F50" s="57">
        <f>'总表-数据收集'!DQ11</f>
        <v>5</v>
      </c>
      <c r="G50" s="57">
        <f>'总表-数据收集'!EP11</f>
        <v>10</v>
      </c>
    </row>
    <row r="52" spans="1:7">
      <c r="A52" s="56">
        <v>12</v>
      </c>
      <c r="B52" s="57"/>
      <c r="C52" s="57"/>
      <c r="D52" s="57"/>
      <c r="E52" s="57"/>
      <c r="F52" s="57"/>
      <c r="G52" s="57"/>
    </row>
    <row r="53" spans="1:7">
      <c r="A53" s="56" t="str">
        <f>'总表-数据收集'!B12</f>
        <v>汕头广本</v>
      </c>
      <c r="B53" s="57"/>
      <c r="C53" s="57"/>
      <c r="D53" s="57"/>
      <c r="E53" s="57"/>
      <c r="F53" s="57"/>
      <c r="G53" s="57"/>
    </row>
    <row r="54" spans="1:7">
      <c r="A54" s="56"/>
      <c r="B54" s="57"/>
      <c r="C54" s="43" t="s">
        <v>108</v>
      </c>
      <c r="D54" s="44" t="s">
        <v>109</v>
      </c>
      <c r="E54" s="44" t="s">
        <v>110</v>
      </c>
      <c r="F54" s="44"/>
      <c r="G54" s="44"/>
    </row>
    <row r="55" spans="1:7">
      <c r="A55" s="56"/>
      <c r="B55" s="44" t="s">
        <v>40</v>
      </c>
      <c r="C55" s="57">
        <f>'总表-数据收集'!AI12</f>
        <v>0</v>
      </c>
      <c r="D55" s="57">
        <f>'总表-数据收集'!BH12</f>
        <v>0</v>
      </c>
      <c r="E55" s="57">
        <f>'总表-数据收集'!CG12</f>
        <v>461</v>
      </c>
      <c r="F55" s="57">
        <f>'总表-数据收集'!DF12</f>
        <v>497</v>
      </c>
      <c r="G55" s="57">
        <f>'总表-数据收集'!EE12</f>
        <v>537</v>
      </c>
    </row>
    <row r="56" spans="1:7">
      <c r="A56" s="56"/>
      <c r="B56" s="44" t="s">
        <v>63</v>
      </c>
      <c r="C56" s="57">
        <f>'总表-数据收集'!AS12</f>
        <v>0</v>
      </c>
      <c r="D56" s="57">
        <f>'总表-数据收集'!BR12</f>
        <v>0</v>
      </c>
      <c r="E56" s="57">
        <f>'总表-数据收集'!CQ12</f>
        <v>41</v>
      </c>
      <c r="F56" s="57">
        <f>'总表-数据收集'!DP12</f>
        <v>25</v>
      </c>
      <c r="G56" s="57">
        <f>'总表-数据收集'!EO12</f>
        <v>26</v>
      </c>
    </row>
    <row r="57" spans="1:7">
      <c r="A57" s="56"/>
      <c r="B57" s="44" t="s">
        <v>64</v>
      </c>
      <c r="C57" s="57">
        <f>'总表-数据收集'!AT12</f>
        <v>0</v>
      </c>
      <c r="D57" s="57">
        <f>'总表-数据收集'!BS12</f>
        <v>0</v>
      </c>
      <c r="E57" s="57">
        <f>'总表-数据收集'!CR12</f>
        <v>16</v>
      </c>
      <c r="F57" s="57">
        <f>'总表-数据收集'!DQ12</f>
        <v>9</v>
      </c>
      <c r="G57" s="57">
        <f>'总表-数据收集'!EP12</f>
        <v>10</v>
      </c>
    </row>
    <row r="59" spans="1:7">
      <c r="A59" s="72">
        <v>13</v>
      </c>
      <c r="B59" s="73"/>
      <c r="C59" s="74"/>
      <c r="D59" s="74"/>
      <c r="E59" s="74"/>
      <c r="F59" s="74"/>
      <c r="G59" s="74"/>
    </row>
    <row r="60" spans="1:7">
      <c r="A60" s="56" t="str">
        <f>'总表-数据收集'!B13</f>
        <v>江门大众</v>
      </c>
      <c r="B60" s="73"/>
      <c r="C60" s="74"/>
      <c r="D60" s="74"/>
      <c r="E60" s="74"/>
      <c r="F60" s="74"/>
      <c r="G60" s="74"/>
    </row>
    <row r="61" spans="1:7">
      <c r="A61" s="75"/>
      <c r="B61" s="73"/>
      <c r="C61" s="43" t="s">
        <v>108</v>
      </c>
      <c r="D61" s="44" t="s">
        <v>109</v>
      </c>
      <c r="E61" s="44" t="s">
        <v>110</v>
      </c>
      <c r="F61" s="44"/>
      <c r="G61" s="44"/>
    </row>
    <row r="62" spans="1:7">
      <c r="A62" s="75"/>
      <c r="B62" s="76" t="s">
        <v>40</v>
      </c>
      <c r="C62" s="57">
        <f>'总表-数据收集'!AI13</f>
        <v>343</v>
      </c>
      <c r="D62" s="57">
        <f>'总表-数据收集'!BH13</f>
        <v>351</v>
      </c>
      <c r="E62" s="57">
        <f>'总表-数据收集'!CG13</f>
        <v>471</v>
      </c>
      <c r="F62" s="57">
        <f>'总表-数据收集'!DF13</f>
        <v>324</v>
      </c>
      <c r="G62" s="57">
        <f>'总表-数据收集'!EE13</f>
        <v>210</v>
      </c>
    </row>
    <row r="63" spans="1:7">
      <c r="A63" s="75"/>
      <c r="B63" s="76" t="s">
        <v>63</v>
      </c>
      <c r="C63" s="57">
        <f>'总表-数据收集'!AS13</f>
        <v>17</v>
      </c>
      <c r="D63" s="57">
        <f>'总表-数据收集'!BR13</f>
        <v>9</v>
      </c>
      <c r="E63" s="57">
        <f>'总表-数据收集'!CQ13</f>
        <v>22</v>
      </c>
      <c r="F63" s="57">
        <f>'总表-数据收集'!DP13</f>
        <v>10</v>
      </c>
      <c r="G63" s="57">
        <f>'总表-数据收集'!EO13</f>
        <v>15</v>
      </c>
    </row>
    <row r="64" spans="1:7">
      <c r="A64" s="75"/>
      <c r="B64" s="76" t="s">
        <v>64</v>
      </c>
      <c r="C64" s="57">
        <f>'总表-数据收集'!AT13</f>
        <v>10</v>
      </c>
      <c r="D64" s="57">
        <f>'总表-数据收集'!BS13</f>
        <v>3</v>
      </c>
      <c r="E64" s="57">
        <f>'总表-数据收集'!CR13</f>
        <v>6</v>
      </c>
      <c r="F64" s="57">
        <f>'总表-数据收集'!DQ13</f>
        <v>2</v>
      </c>
      <c r="G64" s="57">
        <f>'总表-数据收集'!EP13</f>
        <v>6</v>
      </c>
    </row>
    <row r="66" spans="1:7">
      <c r="A66" s="56">
        <v>14</v>
      </c>
      <c r="B66" s="57"/>
      <c r="C66" s="57"/>
      <c r="D66" s="57"/>
      <c r="E66" s="57"/>
      <c r="F66" s="57"/>
      <c r="G66" s="57"/>
    </row>
    <row r="67" spans="1:7">
      <c r="A67" s="56" t="str">
        <f>'总表-数据收集'!B14</f>
        <v>河源零跑</v>
      </c>
      <c r="B67" s="57"/>
      <c r="C67" s="57"/>
      <c r="D67" s="57"/>
      <c r="E67" s="57"/>
      <c r="F67" s="57"/>
      <c r="G67" s="57"/>
    </row>
    <row r="68" spans="1:7">
      <c r="A68" s="56"/>
      <c r="B68" s="57"/>
      <c r="C68" s="43" t="s">
        <v>108</v>
      </c>
      <c r="D68" s="44" t="s">
        <v>109</v>
      </c>
      <c r="E68" s="44" t="s">
        <v>110</v>
      </c>
      <c r="F68" s="44"/>
      <c r="G68" s="44"/>
    </row>
    <row r="69" spans="1:7">
      <c r="A69" s="56"/>
      <c r="B69" s="44" t="s">
        <v>40</v>
      </c>
      <c r="C69" s="57">
        <f>'总表-数据收集'!AI14</f>
        <v>467</v>
      </c>
      <c r="D69" s="57">
        <f>'总表-数据收集'!BH14</f>
        <v>671</v>
      </c>
      <c r="E69" s="57">
        <f>'总表-数据收集'!CG14</f>
        <v>1074</v>
      </c>
      <c r="F69" s="57">
        <f>'总表-数据收集'!DF14</f>
        <v>840</v>
      </c>
      <c r="G69" s="57">
        <f>'总表-数据收集'!EE14</f>
        <v>1537</v>
      </c>
    </row>
    <row r="70" spans="1:7">
      <c r="A70" s="56"/>
      <c r="B70" s="44" t="s">
        <v>63</v>
      </c>
      <c r="C70" s="57">
        <f>'总表-数据收集'!AS14</f>
        <v>99</v>
      </c>
      <c r="D70" s="57">
        <f>'总表-数据收集'!BR14</f>
        <v>67</v>
      </c>
      <c r="E70" s="57">
        <f>'总表-数据收集'!CQ14</f>
        <v>91</v>
      </c>
      <c r="F70" s="57">
        <f>'总表-数据收集'!DP14</f>
        <v>127</v>
      </c>
      <c r="G70" s="57">
        <f>'总表-数据收集'!EO14</f>
        <v>89</v>
      </c>
    </row>
    <row r="71" spans="1:7">
      <c r="A71" s="56"/>
      <c r="B71" s="44" t="s">
        <v>64</v>
      </c>
      <c r="C71" s="57">
        <f>'总表-数据收集'!AT14</f>
        <v>19</v>
      </c>
      <c r="D71" s="57">
        <f>'总表-数据收集'!BS14</f>
        <v>5</v>
      </c>
      <c r="E71" s="57">
        <f>'总表-数据收集'!CR14</f>
        <v>21</v>
      </c>
      <c r="F71" s="57">
        <f>'总表-数据收集'!DQ14</f>
        <v>22</v>
      </c>
      <c r="G71" s="57">
        <f>'总表-数据收集'!EP14</f>
        <v>25</v>
      </c>
    </row>
    <row r="73" spans="1:7">
      <c r="A73" s="56">
        <v>15</v>
      </c>
      <c r="B73" s="57"/>
      <c r="C73" s="57"/>
      <c r="D73" s="57"/>
      <c r="E73" s="57"/>
      <c r="F73" s="57"/>
      <c r="G73" s="57"/>
    </row>
    <row r="74" spans="1:7">
      <c r="A74" s="56" t="str">
        <f>'总表-数据收集'!B15</f>
        <v>汕头零跑</v>
      </c>
      <c r="B74" s="57"/>
      <c r="C74" s="57"/>
      <c r="D74" s="57"/>
      <c r="E74" s="57"/>
      <c r="F74" s="57"/>
      <c r="G74" s="57"/>
    </row>
    <row r="75" spans="1:7">
      <c r="A75" s="56"/>
      <c r="B75" s="57"/>
      <c r="C75" s="43" t="s">
        <v>108</v>
      </c>
      <c r="D75" s="44" t="s">
        <v>109</v>
      </c>
      <c r="E75" s="44" t="s">
        <v>110</v>
      </c>
      <c r="F75" s="44"/>
      <c r="G75" s="44"/>
    </row>
    <row r="76" spans="1:7">
      <c r="A76" s="56"/>
      <c r="B76" s="44" t="s">
        <v>40</v>
      </c>
      <c r="C76" s="57">
        <f>'总表-数据收集'!AI15</f>
        <v>593</v>
      </c>
      <c r="D76" s="57">
        <f>'总表-数据收集'!BH15</f>
        <v>461</v>
      </c>
      <c r="E76" s="57">
        <f>'总表-数据收集'!CG15</f>
        <v>1200</v>
      </c>
      <c r="F76" s="57">
        <f>'总表-数据收集'!DF15</f>
        <v>1337</v>
      </c>
      <c r="G76" s="57">
        <f>'总表-数据收集'!EE15</f>
        <v>1860</v>
      </c>
    </row>
    <row r="77" spans="1:7">
      <c r="A77" s="56"/>
      <c r="B77" s="44" t="s">
        <v>63</v>
      </c>
      <c r="C77" s="57">
        <f>'总表-数据收集'!AS15</f>
        <v>54</v>
      </c>
      <c r="D77" s="57">
        <f>'总表-数据收集'!BR15</f>
        <v>47</v>
      </c>
      <c r="E77" s="57">
        <f>'总表-数据收集'!CQ15</f>
        <v>92</v>
      </c>
      <c r="F77" s="57">
        <f>'总表-数据收集'!DP15</f>
        <v>120</v>
      </c>
      <c r="G77" s="57">
        <f>'总表-数据收集'!EO15</f>
        <v>92</v>
      </c>
    </row>
    <row r="78" spans="1:7">
      <c r="A78" s="56"/>
      <c r="B78" s="44" t="s">
        <v>64</v>
      </c>
      <c r="C78" s="57">
        <f>'总表-数据收集'!AT15</f>
        <v>12</v>
      </c>
      <c r="D78" s="57">
        <f>'总表-数据收集'!BS15</f>
        <v>11</v>
      </c>
      <c r="E78" s="57">
        <f>'总表-数据收集'!CR15</f>
        <v>24</v>
      </c>
      <c r="F78" s="57">
        <f>'总表-数据收集'!DQ15</f>
        <v>35</v>
      </c>
      <c r="G78" s="57">
        <f>'总表-数据收集'!EP15</f>
        <v>27</v>
      </c>
    </row>
    <row r="80" spans="1:7">
      <c r="A80" s="56">
        <v>16</v>
      </c>
      <c r="B80" s="57"/>
      <c r="C80" s="57"/>
      <c r="D80" s="57"/>
      <c r="E80" s="57"/>
      <c r="F80" s="57"/>
      <c r="G80" s="57"/>
    </row>
    <row r="81" spans="1:7">
      <c r="A81" s="56" t="str">
        <f>'总表-数据收集'!B16</f>
        <v>清远港鸿</v>
      </c>
      <c r="B81" s="57"/>
      <c r="C81" s="57"/>
      <c r="D81" s="57"/>
      <c r="E81" s="57"/>
      <c r="F81" s="57"/>
      <c r="G81" s="57"/>
    </row>
    <row r="82" spans="1:7">
      <c r="A82" s="56"/>
      <c r="B82" s="57"/>
      <c r="C82" s="43" t="s">
        <v>108</v>
      </c>
      <c r="D82" s="44" t="s">
        <v>109</v>
      </c>
      <c r="E82" s="44" t="s">
        <v>110</v>
      </c>
      <c r="F82" s="44"/>
      <c r="G82" s="44"/>
    </row>
    <row r="83" spans="1:7">
      <c r="A83" s="56"/>
      <c r="B83" s="44" t="s">
        <v>40</v>
      </c>
      <c r="C83" s="57">
        <f>'总表-数据收集'!AI16</f>
        <v>319</v>
      </c>
      <c r="D83" s="57">
        <f>'总表-数据收集'!BH16</f>
        <v>282</v>
      </c>
      <c r="E83" s="57">
        <f>'总表-数据收集'!CG16</f>
        <v>338</v>
      </c>
      <c r="F83" s="57">
        <f>'总表-数据收集'!DF16</f>
        <v>365</v>
      </c>
      <c r="G83" s="57">
        <f>'总表-数据收集'!EE16</f>
        <v>569</v>
      </c>
    </row>
    <row r="84" spans="1:7">
      <c r="A84" s="56"/>
      <c r="B84" s="44" t="s">
        <v>63</v>
      </c>
      <c r="C84" s="57">
        <f>'总表-数据收集'!AS16</f>
        <v>54</v>
      </c>
      <c r="D84" s="57">
        <f>'总表-数据收集'!BR16</f>
        <v>11</v>
      </c>
      <c r="E84" s="57">
        <f>'总表-数据收集'!CQ16</f>
        <v>39</v>
      </c>
      <c r="F84" s="57">
        <f>'总表-数据收集'!DP16</f>
        <v>42</v>
      </c>
      <c r="G84" s="57">
        <f>'总表-数据收集'!EO16</f>
        <v>27</v>
      </c>
    </row>
    <row r="85" spans="1:7">
      <c r="A85" s="56"/>
      <c r="B85" s="44" t="s">
        <v>64</v>
      </c>
      <c r="C85" s="57">
        <f>'总表-数据收集'!AT16</f>
        <v>11</v>
      </c>
      <c r="D85" s="57">
        <f>'总表-数据收集'!BS16</f>
        <v>4</v>
      </c>
      <c r="E85" s="57">
        <f>'总表-数据收集'!CR16</f>
        <v>13</v>
      </c>
      <c r="F85" s="57">
        <f>'总表-数据收集'!DQ16</f>
        <v>5</v>
      </c>
      <c r="G85" s="57">
        <f>'总表-数据收集'!EP16</f>
        <v>5</v>
      </c>
    </row>
    <row r="87" spans="1:7">
      <c r="A87" s="56">
        <v>17</v>
      </c>
      <c r="B87" s="57"/>
      <c r="C87" s="57"/>
      <c r="D87" s="57"/>
      <c r="E87" s="57"/>
      <c r="F87" s="57"/>
      <c r="G87" s="57"/>
    </row>
    <row r="88" spans="1:7">
      <c r="A88" s="56" t="str">
        <f>'总表-数据收集'!B17</f>
        <v>从化零跑</v>
      </c>
      <c r="B88" s="57"/>
      <c r="C88" s="57"/>
      <c r="D88" s="57"/>
      <c r="E88" s="57"/>
      <c r="F88" s="57"/>
      <c r="G88" s="57"/>
    </row>
    <row r="89" spans="1:7">
      <c r="A89" s="56"/>
      <c r="B89" s="57"/>
      <c r="C89" s="43" t="s">
        <v>108</v>
      </c>
      <c r="D89" s="44" t="s">
        <v>109</v>
      </c>
      <c r="E89" s="44" t="s">
        <v>110</v>
      </c>
      <c r="F89" s="44"/>
      <c r="G89" s="44"/>
    </row>
    <row r="90" spans="1:7">
      <c r="A90" s="56"/>
      <c r="B90" s="44" t="s">
        <v>40</v>
      </c>
      <c r="C90" s="57">
        <f>'总表-数据收集'!AI17</f>
        <v>539</v>
      </c>
      <c r="D90" s="57">
        <f>'总表-数据收集'!BH17</f>
        <v>525</v>
      </c>
      <c r="E90" s="57">
        <f>'总表-数据收集'!CG17</f>
        <v>331</v>
      </c>
      <c r="F90" s="57">
        <f>'总表-数据收集'!DF17</f>
        <v>719</v>
      </c>
      <c r="G90" s="57">
        <f>'总表-数据收集'!EE17</f>
        <v>431</v>
      </c>
    </row>
    <row r="91" spans="1:7">
      <c r="A91" s="56"/>
      <c r="B91" s="44" t="s">
        <v>63</v>
      </c>
      <c r="C91" s="57">
        <f>'总表-数据收集'!AS17</f>
        <v>1</v>
      </c>
      <c r="D91" s="57">
        <f>'总表-数据收集'!BR17</f>
        <v>4</v>
      </c>
      <c r="E91" s="57">
        <f>'总表-数据收集'!CQ17</f>
        <v>11</v>
      </c>
      <c r="F91" s="57">
        <f>'总表-数据收集'!DP17</f>
        <v>25</v>
      </c>
      <c r="G91" s="57">
        <f>'总表-数据收集'!EO17</f>
        <v>19</v>
      </c>
    </row>
    <row r="92" spans="1:7">
      <c r="A92" s="56"/>
      <c r="B92" s="44" t="s">
        <v>64</v>
      </c>
      <c r="C92" s="57">
        <f>'总表-数据收集'!AT17</f>
        <v>4</v>
      </c>
      <c r="D92" s="57">
        <f>'总表-数据收集'!BS17</f>
        <v>2</v>
      </c>
      <c r="E92" s="57">
        <f>'总表-数据收集'!CR17</f>
        <v>4</v>
      </c>
      <c r="F92" s="57">
        <f>'总表-数据收集'!DQ17</f>
        <v>11</v>
      </c>
      <c r="G92" s="57">
        <f>'总表-数据收集'!EP17</f>
        <v>4</v>
      </c>
    </row>
    <row r="94" spans="1:7">
      <c r="A94" s="56">
        <v>18</v>
      </c>
      <c r="B94" s="57"/>
      <c r="C94" s="57"/>
      <c r="D94" s="57"/>
      <c r="E94" s="57"/>
      <c r="F94" s="57"/>
      <c r="G94" s="57"/>
    </row>
    <row r="95" spans="1:7">
      <c r="A95" s="56" t="str">
        <f>'总表-数据收集'!B18</f>
        <v>清远奇晟</v>
      </c>
      <c r="B95" s="57"/>
      <c r="C95" s="57"/>
      <c r="D95" s="57"/>
      <c r="E95" s="57"/>
      <c r="F95" s="57"/>
      <c r="G95" s="57"/>
    </row>
    <row r="96" spans="1:7">
      <c r="A96" s="56"/>
      <c r="B96" s="57"/>
      <c r="C96" s="43" t="s">
        <v>108</v>
      </c>
      <c r="D96" s="44" t="s">
        <v>109</v>
      </c>
      <c r="E96" s="44" t="s">
        <v>110</v>
      </c>
      <c r="F96" s="44"/>
      <c r="G96" s="44"/>
    </row>
    <row r="97" spans="1:7">
      <c r="A97" s="56"/>
      <c r="B97" s="44" t="s">
        <v>40</v>
      </c>
      <c r="C97" s="57">
        <f>'总表-数据收集'!AI18</f>
        <v>260</v>
      </c>
      <c r="D97" s="57">
        <f>'总表-数据收集'!BH18</f>
        <v>212</v>
      </c>
      <c r="E97" s="57">
        <f>'总表-数据收集'!CG18</f>
        <v>225</v>
      </c>
      <c r="F97" s="57">
        <f>'总表-数据收集'!DF18</f>
        <v>220</v>
      </c>
      <c r="G97" s="57">
        <f>'总表-数据收集'!EE18</f>
        <v>380</v>
      </c>
    </row>
    <row r="98" spans="1:7">
      <c r="A98" s="56"/>
      <c r="B98" s="44" t="s">
        <v>63</v>
      </c>
      <c r="C98" s="57">
        <f>'总表-数据收集'!AS18</f>
        <v>22</v>
      </c>
      <c r="D98" s="57">
        <f>'总表-数据收集'!BR18</f>
        <v>6</v>
      </c>
      <c r="E98" s="57">
        <f>'总表-数据收集'!CQ18</f>
        <v>11</v>
      </c>
      <c r="F98" s="57">
        <f>'总表-数据收集'!DP18</f>
        <v>29</v>
      </c>
      <c r="G98" s="57">
        <f>'总表-数据收集'!EO18</f>
        <v>22</v>
      </c>
    </row>
    <row r="99" spans="1:7">
      <c r="A99" s="56"/>
      <c r="B99" s="44" t="s">
        <v>64</v>
      </c>
      <c r="C99" s="57">
        <f>'总表-数据收集'!AT18</f>
        <v>6</v>
      </c>
      <c r="D99" s="57">
        <f>'总表-数据收集'!BS18</f>
        <v>3</v>
      </c>
      <c r="E99" s="57">
        <f>'总表-数据收集'!CR18</f>
        <v>5</v>
      </c>
      <c r="F99" s="57">
        <f>'总表-数据收集'!DQ18</f>
        <v>3</v>
      </c>
      <c r="G99" s="57">
        <f>'总表-数据收集'!EP18</f>
        <v>4</v>
      </c>
    </row>
    <row r="101" spans="1:7">
      <c r="A101" s="56">
        <v>19</v>
      </c>
      <c r="B101" s="57"/>
      <c r="C101" s="57"/>
      <c r="D101" s="57"/>
      <c r="E101" s="57"/>
      <c r="F101" s="57"/>
      <c r="G101" s="57"/>
    </row>
    <row r="102" spans="1:7">
      <c r="A102" s="56" t="str">
        <f>'总表-数据收集'!B19</f>
        <v>清远英德</v>
      </c>
      <c r="B102" s="57"/>
      <c r="C102" s="57"/>
      <c r="D102" s="57"/>
      <c r="E102" s="57"/>
      <c r="F102" s="57"/>
      <c r="G102" s="57"/>
    </row>
    <row r="103" spans="1:7">
      <c r="A103" s="56"/>
      <c r="B103" s="57"/>
      <c r="C103" s="43" t="s">
        <v>108</v>
      </c>
      <c r="D103" s="44" t="s">
        <v>109</v>
      </c>
      <c r="E103" s="44" t="s">
        <v>110</v>
      </c>
      <c r="F103" s="44"/>
      <c r="G103" s="44"/>
    </row>
    <row r="104" spans="1:7">
      <c r="A104" s="56"/>
      <c r="B104" s="44" t="s">
        <v>40</v>
      </c>
      <c r="C104" s="57">
        <f>'总表-数据收集'!AI19</f>
        <v>19</v>
      </c>
      <c r="D104" s="57">
        <f>'总表-数据收集'!BH19</f>
        <v>2</v>
      </c>
      <c r="E104" s="57">
        <f>'总表-数据收集'!CG19</f>
        <v>22</v>
      </c>
      <c r="F104" s="57">
        <f>'总表-数据收集'!DF19</f>
        <v>74</v>
      </c>
      <c r="G104" s="57">
        <f>'总表-数据收集'!EE19</f>
        <v>84</v>
      </c>
    </row>
    <row r="105" spans="1:7">
      <c r="A105" s="56"/>
      <c r="B105" s="44" t="s">
        <v>63</v>
      </c>
      <c r="C105" s="57">
        <f>'总表-数据收集'!AS19</f>
        <v>7</v>
      </c>
      <c r="D105" s="57">
        <f>'总表-数据收集'!BR19</f>
        <v>1</v>
      </c>
      <c r="E105" s="57">
        <f>'总表-数据收集'!CQ19</f>
        <v>3</v>
      </c>
      <c r="F105" s="57">
        <f>'总表-数据收集'!DP19</f>
        <v>23</v>
      </c>
      <c r="G105" s="57">
        <f>'总表-数据收集'!EO19</f>
        <v>12</v>
      </c>
    </row>
    <row r="106" spans="1:7">
      <c r="A106" s="56"/>
      <c r="B106" s="44" t="s">
        <v>64</v>
      </c>
      <c r="C106" s="57">
        <f>'总表-数据收集'!AT19</f>
        <v>0</v>
      </c>
      <c r="D106" s="57">
        <f>'总表-数据收集'!BS19</f>
        <v>0</v>
      </c>
      <c r="E106" s="57">
        <f>'总表-数据收集'!CR19</f>
        <v>0</v>
      </c>
      <c r="F106" s="57">
        <f>'总表-数据收集'!DQ19</f>
        <v>0</v>
      </c>
      <c r="G106" s="57">
        <f>'总表-数据收集'!EP19</f>
        <v>0</v>
      </c>
    </row>
    <row r="108" spans="1:7">
      <c r="A108" s="56">
        <v>20</v>
      </c>
      <c r="B108" s="57"/>
      <c r="C108" s="57"/>
      <c r="D108" s="57"/>
      <c r="E108" s="57"/>
      <c r="F108" s="57"/>
      <c r="G108" s="57"/>
    </row>
    <row r="109" spans="1:7">
      <c r="A109" s="56" t="str">
        <f>'总表-数据收集'!B20</f>
        <v>广花零跑</v>
      </c>
      <c r="B109" s="57"/>
      <c r="C109" s="57"/>
      <c r="D109" s="57"/>
      <c r="E109" s="57"/>
      <c r="F109" s="57"/>
      <c r="G109" s="57"/>
    </row>
    <row r="110" spans="1:7">
      <c r="A110" s="56"/>
      <c r="B110" s="57"/>
      <c r="C110" s="43" t="s">
        <v>108</v>
      </c>
      <c r="D110" s="44" t="s">
        <v>109</v>
      </c>
      <c r="E110" s="44" t="s">
        <v>110</v>
      </c>
      <c r="F110" s="44"/>
      <c r="G110" s="44"/>
    </row>
    <row r="111" spans="1:7">
      <c r="A111" s="56"/>
      <c r="B111" s="44" t="s">
        <v>40</v>
      </c>
      <c r="C111" s="57">
        <f>'总表-数据收集'!AI20</f>
        <v>550</v>
      </c>
      <c r="D111" s="57">
        <f>'总表-数据收集'!BH20</f>
        <v>285</v>
      </c>
      <c r="E111" s="57">
        <f>'总表-数据收集'!CG20</f>
        <v>393</v>
      </c>
      <c r="F111" s="57">
        <f>'总表-数据收集'!DF20</f>
        <v>941</v>
      </c>
      <c r="G111" s="57">
        <f>'总表-数据收集'!EE20</f>
        <v>339</v>
      </c>
    </row>
    <row r="112" spans="1:7">
      <c r="A112" s="56"/>
      <c r="B112" s="44" t="s">
        <v>63</v>
      </c>
      <c r="C112" s="57">
        <f>'总表-数据收集'!AS20</f>
        <v>0</v>
      </c>
      <c r="D112" s="57">
        <f>'总表-数据收集'!BR20</f>
        <v>3</v>
      </c>
      <c r="E112" s="57">
        <f>'总表-数据收集'!CQ20</f>
        <v>8</v>
      </c>
      <c r="F112" s="57">
        <f>'总表-数据收集'!DP20</f>
        <v>28</v>
      </c>
      <c r="G112" s="57">
        <f>'总表-数据收集'!EO20</f>
        <v>18</v>
      </c>
    </row>
    <row r="113" spans="1:7">
      <c r="A113" s="56"/>
      <c r="B113" s="44" t="s">
        <v>64</v>
      </c>
      <c r="C113" s="57">
        <f>'总表-数据收集'!AT20</f>
        <v>0</v>
      </c>
      <c r="D113" s="57">
        <f>'总表-数据收集'!BS20</f>
        <v>2</v>
      </c>
      <c r="E113" s="57">
        <f>'总表-数据收集'!CR20</f>
        <v>2</v>
      </c>
      <c r="F113" s="57">
        <f>'总表-数据收集'!DQ20</f>
        <v>13</v>
      </c>
      <c r="G113" s="57">
        <f>'总表-数据收集'!EP20</f>
        <v>0</v>
      </c>
    </row>
    <row r="115" spans="1:7">
      <c r="A115" s="56">
        <v>21</v>
      </c>
      <c r="B115" s="57"/>
      <c r="C115" s="57"/>
      <c r="D115" s="57"/>
      <c r="E115" s="57"/>
      <c r="F115" s="57"/>
      <c r="G115" s="57"/>
    </row>
    <row r="116" spans="1:7">
      <c r="A116" s="56" t="str">
        <f>'总表-数据收集'!B21</f>
        <v>花都北站零跑</v>
      </c>
      <c r="B116" s="57"/>
      <c r="C116" s="57"/>
      <c r="D116" s="57"/>
      <c r="E116" s="57"/>
      <c r="F116" s="57"/>
      <c r="G116" s="57"/>
    </row>
    <row r="117" spans="1:7">
      <c r="A117" s="56"/>
      <c r="B117" s="57"/>
      <c r="C117" s="43" t="s">
        <v>108</v>
      </c>
      <c r="D117" s="44" t="s">
        <v>109</v>
      </c>
      <c r="E117" s="44" t="s">
        <v>110</v>
      </c>
      <c r="F117" s="44"/>
      <c r="G117" s="44"/>
    </row>
    <row r="118" spans="1:7">
      <c r="A118" s="56"/>
      <c r="B118" s="44" t="s">
        <v>40</v>
      </c>
      <c r="C118" s="57">
        <f>'总表-数据收集'!AI21</f>
        <v>188</v>
      </c>
      <c r="D118" s="57">
        <f>'总表-数据收集'!BH21</f>
        <v>84</v>
      </c>
      <c r="E118" s="57">
        <f>'总表-数据收集'!CG21</f>
        <v>282</v>
      </c>
      <c r="F118" s="57">
        <f>'总表-数据收集'!DF21</f>
        <v>398</v>
      </c>
      <c r="G118" s="57">
        <f>'总表-数据收集'!EE21</f>
        <v>263</v>
      </c>
    </row>
    <row r="119" spans="1:7">
      <c r="A119" s="56"/>
      <c r="B119" s="44" t="s">
        <v>63</v>
      </c>
      <c r="C119" s="57">
        <f>'总表-数据收集'!AS21</f>
        <v>2</v>
      </c>
      <c r="D119" s="57">
        <f>'总表-数据收集'!BR21</f>
        <v>6</v>
      </c>
      <c r="E119" s="57">
        <f>'总表-数据收集'!CQ21</f>
        <v>21</v>
      </c>
      <c r="F119" s="57">
        <f>'总表-数据收集'!DP21</f>
        <v>28</v>
      </c>
      <c r="G119" s="57">
        <f>'总表-数据收集'!EO21</f>
        <v>12</v>
      </c>
    </row>
    <row r="120" spans="1:7">
      <c r="A120" s="56"/>
      <c r="B120" s="44" t="s">
        <v>64</v>
      </c>
      <c r="C120" s="57">
        <f>'总表-数据收集'!AT21</f>
        <v>1</v>
      </c>
      <c r="D120" s="57">
        <f>'总表-数据收集'!BS21</f>
        <v>0</v>
      </c>
      <c r="E120" s="57">
        <f>'总表-数据收集'!CR21</f>
        <v>4</v>
      </c>
      <c r="F120" s="57">
        <f>'总表-数据收集'!DQ21</f>
        <v>7</v>
      </c>
      <c r="G120" s="57">
        <f>'总表-数据收集'!EP21</f>
        <v>5</v>
      </c>
    </row>
    <row r="122" spans="1:7">
      <c r="A122" s="56">
        <v>22</v>
      </c>
      <c r="B122" s="57"/>
      <c r="C122" s="57"/>
      <c r="D122" s="57"/>
      <c r="E122" s="57"/>
      <c r="F122" s="57"/>
      <c r="G122" s="57"/>
    </row>
    <row r="123" spans="1:7">
      <c r="A123" s="56" t="str">
        <f>'总表-数据收集'!B22</f>
        <v>清远智己</v>
      </c>
      <c r="B123" s="57"/>
      <c r="C123" s="57"/>
      <c r="D123" s="57"/>
      <c r="E123" s="57"/>
      <c r="F123" s="57"/>
      <c r="G123" s="57"/>
    </row>
    <row r="124" spans="1:7">
      <c r="A124" s="56"/>
      <c r="B124" s="57"/>
      <c r="C124" s="43" t="s">
        <v>108</v>
      </c>
      <c r="D124" s="44" t="s">
        <v>109</v>
      </c>
      <c r="E124" s="44" t="s">
        <v>110</v>
      </c>
      <c r="F124" s="44"/>
      <c r="G124" s="44"/>
    </row>
    <row r="125" spans="1:7">
      <c r="A125" s="56"/>
      <c r="B125" s="44" t="s">
        <v>40</v>
      </c>
      <c r="C125" s="57">
        <f>'总表-数据收集'!AI22</f>
        <v>0</v>
      </c>
      <c r="D125" s="57">
        <f>'总表-数据收集'!BH22</f>
        <v>0</v>
      </c>
      <c r="E125" s="57">
        <f>'总表-数据收集'!CG22</f>
        <v>0</v>
      </c>
      <c r="F125" s="57">
        <f>'总表-数据收集'!DF22</f>
        <v>0</v>
      </c>
      <c r="G125" s="57">
        <f>'总表-数据收集'!EE22</f>
        <v>64</v>
      </c>
    </row>
    <row r="126" spans="1:7">
      <c r="A126" s="56"/>
      <c r="B126" s="44" t="s">
        <v>63</v>
      </c>
      <c r="C126" s="57">
        <f>'总表-数据收集'!AS22</f>
        <v>0</v>
      </c>
      <c r="D126" s="57">
        <f>'总表-数据收集'!BR22</f>
        <v>0</v>
      </c>
      <c r="E126" s="57">
        <f>'总表-数据收集'!CQ22</f>
        <v>0</v>
      </c>
      <c r="F126" s="57">
        <f>'总表-数据收集'!DP22</f>
        <v>0</v>
      </c>
      <c r="G126" s="57">
        <f>'总表-数据收集'!EO22</f>
        <v>3</v>
      </c>
    </row>
    <row r="127" spans="1:7">
      <c r="A127" s="56"/>
      <c r="B127" s="44" t="s">
        <v>64</v>
      </c>
      <c r="C127" s="57">
        <f>'总表-数据收集'!AT22</f>
        <v>0</v>
      </c>
      <c r="D127" s="57">
        <f>'总表-数据收集'!BS22</f>
        <v>0</v>
      </c>
      <c r="E127" s="57">
        <f>'总表-数据收集'!CR22</f>
        <v>0</v>
      </c>
      <c r="F127" s="57">
        <f>'总表-数据收集'!DQ22</f>
        <v>0</v>
      </c>
      <c r="G127" s="57">
        <f>'总表-数据收集'!EP22</f>
        <v>1</v>
      </c>
    </row>
  </sheetData>
  <pageMargins left="0.7" right="0.7" top="0.75" bottom="0.75" header="0.3" footer="0.3"/>
  <pageSetup paperSize="9" orientation="portrait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G4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G12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G20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G27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G34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G41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G48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G55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G62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G69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G76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G83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G90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G97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G104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G111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G118</xm:sqref>
            </x14:sparkline>
          </x14:sparklines>
        </x14:sparklineGroup>
        <x14:sparklineGroup type="line" displayEmptyCellsAs="gap" first="1" last="1">
          <x14:colorSeries rgb="FFC0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G125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66"/>
  <sheetViews>
    <sheetView zoomScale="60" zoomScaleNormal="60" workbookViewId="0">
      <selection activeCell="H49" sqref="H49:H66"/>
    </sheetView>
  </sheetViews>
  <sheetFormatPr defaultColWidth="11" defaultRowHeight="14" outlineLevelCol="7"/>
  <cols>
    <col min="3" max="3" width="21.6666666666667" customWidth="1"/>
  </cols>
  <sheetData>
    <row r="2" spans="2:8">
      <c r="C2" s="42" t="s">
        <v>40</v>
      </c>
    </row>
    <row r="3" spans="2:8">
      <c r="D3" s="43" t="s">
        <v>44</v>
      </c>
      <c r="E3" s="44" t="s">
        <v>45</v>
      </c>
      <c r="F3" s="44" t="s">
        <v>46</v>
      </c>
      <c r="G3" s="44" t="s">
        <v>111</v>
      </c>
      <c r="H3" s="44" t="s">
        <v>112</v>
      </c>
    </row>
    <row r="4" ht="18" spans="2:8">
      <c r="B4" s="45">
        <v>5</v>
      </c>
      <c r="C4" s="46" t="s">
        <v>20</v>
      </c>
      <c r="D4">
        <f>'总表-数据收集'!AI5</f>
        <v>3099</v>
      </c>
      <c r="E4">
        <f>'总表-数据收集'!BH5</f>
        <v>1529</v>
      </c>
      <c r="F4">
        <f>'总表-数据收集'!CG5</f>
        <v>1277</v>
      </c>
      <c r="G4">
        <f>'总表-数据收集'!DF5</f>
        <v>731</v>
      </c>
      <c r="H4">
        <f>'总表-数据收集'!EE5</f>
        <v>1126</v>
      </c>
    </row>
    <row r="5" ht="18" hidden="1" spans="2:8">
      <c r="B5" s="45">
        <v>6</v>
      </c>
      <c r="C5" s="47"/>
      <c r="D5" t="e">
        <f>'总表-数据收集'!#REF!</f>
        <v>#REF!</v>
      </c>
      <c r="E5" t="e">
        <f>'总表-数据收集'!#REF!</f>
        <v>#REF!</v>
      </c>
      <c r="F5" t="e">
        <f>'总表-数据收集'!#REF!</f>
        <v>#REF!</v>
      </c>
      <c r="G5" t="e">
        <f>'总表-数据收集'!#REF!</f>
        <v>#REF!</v>
      </c>
      <c r="H5">
        <f>'总表-数据收集'!EE6</f>
        <v>1412</v>
      </c>
    </row>
    <row r="6" ht="18" spans="2:8">
      <c r="B6" s="45">
        <v>6</v>
      </c>
      <c r="C6" s="48" t="s">
        <v>21</v>
      </c>
      <c r="D6">
        <f>'总表-数据收集'!AI6</f>
        <v>869</v>
      </c>
      <c r="E6">
        <f>'总表-数据收集'!BH6</f>
        <v>495</v>
      </c>
      <c r="F6">
        <f>'总表-数据收集'!CG6</f>
        <v>1446</v>
      </c>
      <c r="G6">
        <f>'总表-数据收集'!DF6</f>
        <v>1054</v>
      </c>
      <c r="H6">
        <f>'总表-数据收集'!EE6</f>
        <v>1412</v>
      </c>
    </row>
    <row r="7" ht="18" spans="2:8">
      <c r="B7" s="45">
        <v>7</v>
      </c>
      <c r="C7" s="47" t="s">
        <v>22</v>
      </c>
      <c r="D7">
        <f>'总表-数据收集'!AI7</f>
        <v>1160</v>
      </c>
      <c r="E7">
        <f>'总表-数据收集'!BH7</f>
        <v>681</v>
      </c>
      <c r="F7">
        <f>'总表-数据收集'!CG7</f>
        <v>902</v>
      </c>
      <c r="G7">
        <f>'总表-数据收集'!DF7</f>
        <v>1112</v>
      </c>
      <c r="H7">
        <f>'总表-数据收集'!EE7</f>
        <v>1084</v>
      </c>
    </row>
    <row r="8" ht="18" spans="2:8">
      <c r="B8" s="45">
        <v>8</v>
      </c>
      <c r="C8" s="49" t="s">
        <v>23</v>
      </c>
      <c r="D8">
        <f>'总表-数据收集'!AI8</f>
        <v>579</v>
      </c>
      <c r="E8">
        <f>'总表-数据收集'!BH8</f>
        <v>302</v>
      </c>
      <c r="F8">
        <f>'总表-数据收集'!CG8</f>
        <v>870</v>
      </c>
      <c r="G8">
        <f>'总表-数据收集'!DF8</f>
        <v>557</v>
      </c>
      <c r="H8">
        <f>'总表-数据收集'!EE8</f>
        <v>682</v>
      </c>
    </row>
    <row r="9" ht="18" spans="2:8">
      <c r="B9" s="45">
        <v>9</v>
      </c>
      <c r="C9" s="50" t="s">
        <v>24</v>
      </c>
      <c r="D9">
        <f>'总表-数据收集'!AI9</f>
        <v>68</v>
      </c>
      <c r="E9">
        <f>'总表-数据收集'!BH9</f>
        <v>369</v>
      </c>
      <c r="F9">
        <f>'总表-数据收集'!CG9</f>
        <v>345</v>
      </c>
      <c r="G9">
        <f>'总表-数据收集'!DF9</f>
        <v>384</v>
      </c>
      <c r="H9">
        <f>'总表-数据收集'!EE9</f>
        <v>408</v>
      </c>
    </row>
    <row r="10" ht="18" spans="2:8">
      <c r="B10" s="45">
        <v>10</v>
      </c>
      <c r="C10" s="49" t="s">
        <v>25</v>
      </c>
      <c r="D10">
        <f>'总表-数据收集'!AI10</f>
        <v>683</v>
      </c>
      <c r="E10">
        <f>'总表-数据收集'!BH10</f>
        <v>765</v>
      </c>
      <c r="F10">
        <f>'总表-数据收集'!CG10</f>
        <v>867</v>
      </c>
      <c r="G10">
        <f>'总表-数据收集'!DF10</f>
        <v>593</v>
      </c>
      <c r="H10">
        <f>'总表-数据收集'!EE10</f>
        <v>525</v>
      </c>
    </row>
    <row r="11" ht="18" spans="2:8">
      <c r="B11" s="45">
        <v>11</v>
      </c>
      <c r="C11" s="51" t="s">
        <v>26</v>
      </c>
      <c r="D11">
        <f>'总表-数据收集'!AI11</f>
        <v>502</v>
      </c>
      <c r="E11">
        <f>'总表-数据收集'!BH11</f>
        <v>181</v>
      </c>
      <c r="F11">
        <f>'总表-数据收集'!CG11</f>
        <v>394</v>
      </c>
      <c r="G11">
        <f>'总表-数据收集'!DF11</f>
        <v>316</v>
      </c>
      <c r="H11">
        <f>'总表-数据收集'!EE11</f>
        <v>375</v>
      </c>
    </row>
    <row r="12" ht="18" spans="2:8">
      <c r="B12" s="45">
        <v>12</v>
      </c>
      <c r="C12" s="49" t="s">
        <v>27</v>
      </c>
      <c r="D12">
        <f>'总表-数据收集'!AI12</f>
        <v>0</v>
      </c>
      <c r="E12">
        <f>'总表-数据收集'!BH12</f>
        <v>0</v>
      </c>
      <c r="F12">
        <f>'总表-数据收集'!CG12</f>
        <v>461</v>
      </c>
      <c r="G12">
        <f>'总表-数据收集'!DF12</f>
        <v>497</v>
      </c>
      <c r="H12">
        <f>'总表-数据收集'!EE12</f>
        <v>537</v>
      </c>
    </row>
    <row r="13" ht="18" spans="2:8">
      <c r="B13" s="45">
        <v>13</v>
      </c>
      <c r="C13" s="52" t="s">
        <v>28</v>
      </c>
      <c r="D13">
        <f>'总表-数据收集'!AI13</f>
        <v>343</v>
      </c>
      <c r="E13">
        <f>'总表-数据收集'!BH13</f>
        <v>351</v>
      </c>
      <c r="F13">
        <f>'总表-数据收集'!CG13</f>
        <v>471</v>
      </c>
      <c r="G13">
        <f>'总表-数据收集'!DF13</f>
        <v>324</v>
      </c>
      <c r="H13">
        <f>'总表-数据收集'!EE13</f>
        <v>210</v>
      </c>
    </row>
    <row r="14" ht="18" spans="2:8">
      <c r="B14" s="45">
        <v>14</v>
      </c>
      <c r="C14" s="49" t="s">
        <v>29</v>
      </c>
      <c r="D14">
        <f>'总表-数据收集'!AI14</f>
        <v>467</v>
      </c>
      <c r="E14">
        <f>'总表-数据收集'!BH14</f>
        <v>671</v>
      </c>
      <c r="F14">
        <f>'总表-数据收集'!CG14</f>
        <v>1074</v>
      </c>
      <c r="G14">
        <f>'总表-数据收集'!DF14</f>
        <v>840</v>
      </c>
      <c r="H14">
        <f>'总表-数据收集'!EE14</f>
        <v>1537</v>
      </c>
    </row>
    <row r="15" ht="18" spans="2:8">
      <c r="B15" s="45">
        <v>15</v>
      </c>
      <c r="C15" s="52" t="s">
        <v>30</v>
      </c>
      <c r="D15">
        <f>'总表-数据收集'!AI15</f>
        <v>593</v>
      </c>
      <c r="E15">
        <f>'总表-数据收集'!BH15</f>
        <v>461</v>
      </c>
      <c r="F15">
        <f>'总表-数据收集'!CG15</f>
        <v>1200</v>
      </c>
      <c r="G15">
        <f>'总表-数据收集'!DF15</f>
        <v>1337</v>
      </c>
      <c r="H15">
        <f>'总表-数据收集'!EE15</f>
        <v>1860</v>
      </c>
    </row>
    <row r="16" ht="18" spans="2:8">
      <c r="B16" s="45">
        <v>16</v>
      </c>
      <c r="C16" s="49" t="s">
        <v>31</v>
      </c>
      <c r="D16">
        <f>'总表-数据收集'!AI16</f>
        <v>319</v>
      </c>
      <c r="E16">
        <f>'总表-数据收集'!BH16</f>
        <v>282</v>
      </c>
      <c r="F16">
        <f>'总表-数据收集'!CG16</f>
        <v>338</v>
      </c>
      <c r="G16">
        <f>'总表-数据收集'!DF16</f>
        <v>365</v>
      </c>
      <c r="H16">
        <f>'总表-数据收集'!EE16</f>
        <v>569</v>
      </c>
    </row>
    <row r="17" ht="18" spans="2:8">
      <c r="B17" s="45">
        <v>17</v>
      </c>
      <c r="C17" s="52" t="s">
        <v>32</v>
      </c>
      <c r="D17">
        <f>'总表-数据收集'!AI17</f>
        <v>539</v>
      </c>
      <c r="E17">
        <f>'总表-数据收集'!BH17</f>
        <v>525</v>
      </c>
      <c r="F17">
        <f>'总表-数据收集'!CG17</f>
        <v>331</v>
      </c>
      <c r="G17">
        <f>'总表-数据收集'!DF17</f>
        <v>719</v>
      </c>
      <c r="H17">
        <f>'总表-数据收集'!EE17</f>
        <v>431</v>
      </c>
    </row>
    <row r="18" ht="18" spans="2:8">
      <c r="B18" s="45">
        <v>18</v>
      </c>
      <c r="C18" s="49" t="s">
        <v>33</v>
      </c>
      <c r="D18">
        <f>'总表-数据收集'!AI18</f>
        <v>260</v>
      </c>
      <c r="E18">
        <f>'总表-数据收集'!BH18</f>
        <v>212</v>
      </c>
      <c r="F18">
        <f>'总表-数据收集'!CG18</f>
        <v>225</v>
      </c>
      <c r="G18">
        <f>'总表-数据收集'!DF18</f>
        <v>220</v>
      </c>
      <c r="H18">
        <f>'总表-数据收集'!EE18</f>
        <v>380</v>
      </c>
    </row>
    <row r="19" ht="18" spans="2:8">
      <c r="B19" s="45">
        <v>19</v>
      </c>
      <c r="C19" s="47" t="s">
        <v>34</v>
      </c>
      <c r="D19">
        <f>'总表-数据收集'!AI19</f>
        <v>19</v>
      </c>
      <c r="E19">
        <f>'总表-数据收集'!BH19</f>
        <v>2</v>
      </c>
      <c r="F19">
        <f>'总表-数据收集'!CG19</f>
        <v>22</v>
      </c>
      <c r="G19">
        <f>'总表-数据收集'!DF19</f>
        <v>74</v>
      </c>
      <c r="H19">
        <f>'总表-数据收集'!EE19</f>
        <v>84</v>
      </c>
    </row>
    <row r="20" ht="18" spans="2:8">
      <c r="B20" s="45">
        <v>20</v>
      </c>
      <c r="C20" s="53" t="s">
        <v>35</v>
      </c>
      <c r="D20">
        <f>'总表-数据收集'!AI20</f>
        <v>550</v>
      </c>
      <c r="E20">
        <f>'总表-数据收集'!BH20</f>
        <v>285</v>
      </c>
      <c r="F20">
        <f>'总表-数据收集'!CG20</f>
        <v>393</v>
      </c>
      <c r="G20">
        <f>'总表-数据收集'!DF20</f>
        <v>941</v>
      </c>
      <c r="H20">
        <f>'总表-数据收集'!EE20</f>
        <v>339</v>
      </c>
    </row>
    <row r="21" ht="18" spans="2:8">
      <c r="B21" s="45">
        <v>21</v>
      </c>
      <c r="C21" s="54" t="s">
        <v>36</v>
      </c>
      <c r="D21">
        <f>'总表-数据收集'!AI21</f>
        <v>188</v>
      </c>
      <c r="E21">
        <f>'总表-数据收集'!BH21</f>
        <v>84</v>
      </c>
      <c r="F21">
        <f>'总表-数据收集'!CG21</f>
        <v>282</v>
      </c>
      <c r="G21">
        <f>'总表-数据收集'!DF21</f>
        <v>398</v>
      </c>
      <c r="H21">
        <f>'总表-数据收集'!EE21</f>
        <v>263</v>
      </c>
    </row>
    <row r="24" spans="2:8">
      <c r="C24" s="42" t="s">
        <v>63</v>
      </c>
    </row>
    <row r="25" spans="2:8">
      <c r="C25" s="42"/>
      <c r="D25" s="43" t="s">
        <v>44</v>
      </c>
      <c r="E25" s="44" t="s">
        <v>45</v>
      </c>
      <c r="F25" s="44" t="s">
        <v>46</v>
      </c>
      <c r="G25" s="44" t="s">
        <v>111</v>
      </c>
      <c r="H25" s="44" t="s">
        <v>112</v>
      </c>
    </row>
    <row r="26" ht="18" spans="2:8">
      <c r="B26" s="45">
        <v>5</v>
      </c>
      <c r="C26" s="46" t="s">
        <v>20</v>
      </c>
      <c r="D26">
        <f>'总表-数据收集'!AS5</f>
        <v>77</v>
      </c>
      <c r="E26">
        <f>'总表-数据收集'!BR5</f>
        <v>22</v>
      </c>
      <c r="F26">
        <f>'总表-数据收集'!CQ5</f>
        <v>29</v>
      </c>
      <c r="G26">
        <f>'总表-数据收集'!DP5</f>
        <v>22</v>
      </c>
      <c r="H26">
        <f>'总表-数据收集'!EO6</f>
        <v>44</v>
      </c>
    </row>
    <row r="27" ht="18" hidden="1" spans="2:8">
      <c r="B27" s="45">
        <v>6</v>
      </c>
      <c r="C27" s="47"/>
      <c r="D27" t="e">
        <f>'总表-数据收集'!#REF!</f>
        <v>#REF!</v>
      </c>
      <c r="E27" t="e">
        <f>'总表-数据收集'!#REF!</f>
        <v>#REF!</v>
      </c>
      <c r="F27" t="e">
        <f>'总表-数据收集'!#REF!</f>
        <v>#REF!</v>
      </c>
      <c r="G27" t="e">
        <f>'总表-数据收集'!#REF!</f>
        <v>#REF!</v>
      </c>
      <c r="H27">
        <f>'总表-数据收集'!EO7</f>
        <v>61</v>
      </c>
    </row>
    <row r="28" ht="18" spans="2:8">
      <c r="B28" s="45">
        <v>6</v>
      </c>
      <c r="C28" s="48" t="s">
        <v>21</v>
      </c>
      <c r="D28">
        <f>'总表-数据收集'!AS6</f>
        <v>25</v>
      </c>
      <c r="E28">
        <f>'总表-数据收集'!BR6</f>
        <v>13</v>
      </c>
      <c r="F28">
        <f>'总表-数据收集'!CQ6</f>
        <v>26</v>
      </c>
      <c r="G28">
        <f>'总表-数据收集'!DP6</f>
        <v>51</v>
      </c>
      <c r="H28">
        <f>'总表-数据收集'!EO8</f>
        <v>30</v>
      </c>
    </row>
    <row r="29" ht="18" spans="2:8">
      <c r="B29" s="45">
        <v>7</v>
      </c>
      <c r="C29" s="47" t="s">
        <v>22</v>
      </c>
      <c r="D29">
        <f>'总表-数据收集'!AS7</f>
        <v>27</v>
      </c>
      <c r="E29">
        <f>'总表-数据收集'!BR7</f>
        <v>21</v>
      </c>
      <c r="F29">
        <f>'总表-数据收集'!CQ7</f>
        <v>31</v>
      </c>
      <c r="G29">
        <f>'总表-数据收集'!DP7</f>
        <v>60</v>
      </c>
      <c r="H29">
        <f>'总表-数据收集'!EO9</f>
        <v>33</v>
      </c>
    </row>
    <row r="30" ht="18" spans="2:8">
      <c r="B30" s="45">
        <v>8</v>
      </c>
      <c r="C30" s="49" t="s">
        <v>23</v>
      </c>
      <c r="D30">
        <f>'总表-数据收集'!AS8</f>
        <v>22</v>
      </c>
      <c r="E30">
        <f>'总表-数据收集'!BR8</f>
        <v>8</v>
      </c>
      <c r="F30">
        <f>'总表-数据收集'!CQ8</f>
        <v>27</v>
      </c>
      <c r="G30">
        <f>'总表-数据收集'!DP8</f>
        <v>15</v>
      </c>
      <c r="H30">
        <f>'总表-数据收集'!EO10</f>
        <v>42</v>
      </c>
    </row>
    <row r="31" ht="18" spans="2:8">
      <c r="B31" s="45">
        <v>9</v>
      </c>
      <c r="C31" s="50" t="s">
        <v>24</v>
      </c>
      <c r="D31">
        <f>'总表-数据收集'!AS9</f>
        <v>10</v>
      </c>
      <c r="E31">
        <f>'总表-数据收集'!BR9</f>
        <v>16</v>
      </c>
      <c r="F31">
        <f>'总表-数据收集'!CQ9</f>
        <v>18</v>
      </c>
      <c r="G31">
        <f>'总表-数据收集'!DP9</f>
        <v>25</v>
      </c>
      <c r="H31">
        <f>'总表-数据收集'!EO11</f>
        <v>50</v>
      </c>
    </row>
    <row r="32" ht="18" spans="2:8">
      <c r="B32" s="45">
        <v>10</v>
      </c>
      <c r="C32" s="49" t="s">
        <v>25</v>
      </c>
      <c r="D32">
        <f>'总表-数据收集'!AS10</f>
        <v>41</v>
      </c>
      <c r="E32">
        <f>'总表-数据收集'!BR10</f>
        <v>29</v>
      </c>
      <c r="F32">
        <f>'总表-数据收集'!CQ10</f>
        <v>50</v>
      </c>
      <c r="G32">
        <f>'总表-数据收集'!DP10</f>
        <v>33</v>
      </c>
      <c r="H32">
        <f>'总表-数据收集'!EO12</f>
        <v>26</v>
      </c>
    </row>
    <row r="33" ht="18" spans="2:8">
      <c r="B33" s="45">
        <v>11</v>
      </c>
      <c r="C33" s="51" t="s">
        <v>26</v>
      </c>
      <c r="D33">
        <f>'总表-数据收集'!AS11</f>
        <v>76</v>
      </c>
      <c r="E33">
        <f>'总表-数据收集'!BR11</f>
        <v>27</v>
      </c>
      <c r="F33">
        <f>'总表-数据收集'!CQ11</f>
        <v>52</v>
      </c>
      <c r="G33">
        <f>'总表-数据收集'!DP11</f>
        <v>37</v>
      </c>
      <c r="H33">
        <f>'总表-数据收集'!EO13</f>
        <v>15</v>
      </c>
    </row>
    <row r="34" ht="18" spans="2:8">
      <c r="B34" s="45">
        <v>12</v>
      </c>
      <c r="C34" s="49" t="s">
        <v>27</v>
      </c>
      <c r="D34">
        <f>'总表-数据收集'!AS12</f>
        <v>0</v>
      </c>
      <c r="E34">
        <f>'总表-数据收集'!BR12</f>
        <v>0</v>
      </c>
      <c r="F34">
        <f>'总表-数据收集'!CQ12</f>
        <v>41</v>
      </c>
      <c r="G34">
        <f>'总表-数据收集'!DP12</f>
        <v>25</v>
      </c>
      <c r="H34">
        <f>'总表-数据收集'!EO14</f>
        <v>89</v>
      </c>
    </row>
    <row r="35" ht="18" spans="2:8">
      <c r="B35" s="45">
        <v>13</v>
      </c>
      <c r="C35" s="52" t="s">
        <v>28</v>
      </c>
      <c r="D35">
        <f>'总表-数据收集'!AS13</f>
        <v>17</v>
      </c>
      <c r="E35">
        <f>'总表-数据收集'!BR13</f>
        <v>9</v>
      </c>
      <c r="F35">
        <f>'总表-数据收集'!CQ13</f>
        <v>22</v>
      </c>
      <c r="G35">
        <f>'总表-数据收集'!DP13</f>
        <v>10</v>
      </c>
      <c r="H35">
        <f>'总表-数据收集'!EO15</f>
        <v>92</v>
      </c>
    </row>
    <row r="36" ht="18" spans="2:8">
      <c r="B36" s="45">
        <v>14</v>
      </c>
      <c r="C36" s="49" t="s">
        <v>29</v>
      </c>
      <c r="D36">
        <f>'总表-数据收集'!AS14</f>
        <v>99</v>
      </c>
      <c r="E36">
        <f>'总表-数据收集'!BR14</f>
        <v>67</v>
      </c>
      <c r="F36">
        <f>'总表-数据收集'!CQ14</f>
        <v>91</v>
      </c>
      <c r="G36">
        <f>'总表-数据收集'!DP14</f>
        <v>127</v>
      </c>
      <c r="H36">
        <f>'总表-数据收集'!EO16</f>
        <v>27</v>
      </c>
    </row>
    <row r="37" ht="18" spans="2:8">
      <c r="B37" s="45">
        <v>15</v>
      </c>
      <c r="C37" s="52" t="s">
        <v>30</v>
      </c>
      <c r="D37">
        <f>'总表-数据收集'!AS15</f>
        <v>54</v>
      </c>
      <c r="E37">
        <f>'总表-数据收集'!BR15</f>
        <v>47</v>
      </c>
      <c r="F37">
        <f>'总表-数据收集'!CQ15</f>
        <v>92</v>
      </c>
      <c r="G37">
        <f>'总表-数据收集'!DP15</f>
        <v>120</v>
      </c>
      <c r="H37">
        <f>'总表-数据收集'!EO17</f>
        <v>19</v>
      </c>
    </row>
    <row r="38" ht="18" spans="2:8">
      <c r="B38" s="45">
        <v>16</v>
      </c>
      <c r="C38" s="49" t="s">
        <v>31</v>
      </c>
      <c r="D38">
        <f>'总表-数据收集'!AS16</f>
        <v>54</v>
      </c>
      <c r="E38">
        <f>'总表-数据收集'!BR16</f>
        <v>11</v>
      </c>
      <c r="F38">
        <f>'总表-数据收集'!CQ16</f>
        <v>39</v>
      </c>
      <c r="G38">
        <f>'总表-数据收集'!DP16</f>
        <v>42</v>
      </c>
      <c r="H38">
        <f>'总表-数据收集'!EO18</f>
        <v>22</v>
      </c>
    </row>
    <row r="39" ht="18" spans="2:8">
      <c r="B39" s="45">
        <v>17</v>
      </c>
      <c r="C39" s="52" t="s">
        <v>32</v>
      </c>
      <c r="D39">
        <f>'总表-数据收集'!AS17</f>
        <v>1</v>
      </c>
      <c r="E39">
        <f>'总表-数据收集'!BR17</f>
        <v>4</v>
      </c>
      <c r="F39">
        <f>'总表-数据收集'!CQ17</f>
        <v>11</v>
      </c>
      <c r="G39">
        <f>'总表-数据收集'!DP17</f>
        <v>25</v>
      </c>
      <c r="H39">
        <f>'总表-数据收集'!EO19</f>
        <v>12</v>
      </c>
    </row>
    <row r="40" ht="18" spans="2:8">
      <c r="B40" s="45">
        <v>18</v>
      </c>
      <c r="C40" s="49" t="s">
        <v>33</v>
      </c>
      <c r="D40">
        <f>'总表-数据收集'!AS18</f>
        <v>22</v>
      </c>
      <c r="E40">
        <f>'总表-数据收集'!BR18</f>
        <v>6</v>
      </c>
      <c r="F40">
        <f>'总表-数据收集'!CQ18</f>
        <v>11</v>
      </c>
      <c r="G40">
        <f>'总表-数据收集'!DP18</f>
        <v>29</v>
      </c>
      <c r="H40">
        <f>'总表-数据收集'!EO20</f>
        <v>18</v>
      </c>
    </row>
    <row r="41" ht="18" spans="2:8">
      <c r="B41" s="45">
        <v>19</v>
      </c>
      <c r="C41" s="47" t="s">
        <v>34</v>
      </c>
      <c r="D41">
        <f>'总表-数据收集'!AS19</f>
        <v>7</v>
      </c>
      <c r="E41">
        <f>'总表-数据收集'!BR19</f>
        <v>1</v>
      </c>
      <c r="F41">
        <f>'总表-数据收集'!CQ19</f>
        <v>3</v>
      </c>
      <c r="G41">
        <f>'总表-数据收集'!DP19</f>
        <v>23</v>
      </c>
      <c r="H41">
        <f>'总表-数据收集'!EO21</f>
        <v>12</v>
      </c>
    </row>
    <row r="42" ht="18" spans="2:8">
      <c r="B42" s="45">
        <v>20</v>
      </c>
      <c r="C42" s="53" t="s">
        <v>35</v>
      </c>
      <c r="D42">
        <f>'总表-数据收集'!AS20</f>
        <v>0</v>
      </c>
      <c r="E42">
        <f>'总表-数据收集'!BR20</f>
        <v>3</v>
      </c>
      <c r="F42">
        <f>'总表-数据收集'!CQ20</f>
        <v>8</v>
      </c>
      <c r="G42">
        <f>'总表-数据收集'!DP20</f>
        <v>28</v>
      </c>
      <c r="H42">
        <f>'总表-数据收集'!EO23</f>
        <v>612</v>
      </c>
    </row>
    <row r="43" ht="18" spans="2:8">
      <c r="B43" s="45">
        <v>21</v>
      </c>
      <c r="C43" s="54" t="s">
        <v>36</v>
      </c>
      <c r="D43">
        <f>'总表-数据收集'!AS21</f>
        <v>2</v>
      </c>
      <c r="E43">
        <f>'总表-数据收集'!BR21</f>
        <v>6</v>
      </c>
      <c r="F43">
        <f>'总表-数据收集'!CQ21</f>
        <v>21</v>
      </c>
      <c r="G43">
        <f>'总表-数据收集'!DP21</f>
        <v>28</v>
      </c>
      <c r="H43">
        <f>'总表-数据收集'!EO24</f>
        <v>0</v>
      </c>
    </row>
    <row r="47" spans="2:8">
      <c r="C47" s="42" t="s">
        <v>64</v>
      </c>
    </row>
    <row r="48" spans="2:8">
      <c r="C48" s="42"/>
      <c r="D48" s="43" t="s">
        <v>44</v>
      </c>
      <c r="E48" s="44" t="s">
        <v>45</v>
      </c>
      <c r="F48" s="44" t="s">
        <v>46</v>
      </c>
      <c r="G48" s="44" t="s">
        <v>111</v>
      </c>
      <c r="H48" s="44" t="s">
        <v>112</v>
      </c>
    </row>
    <row r="49" ht="18" spans="2:8">
      <c r="B49" s="45">
        <v>5</v>
      </c>
      <c r="C49" s="46" t="s">
        <v>20</v>
      </c>
      <c r="D49">
        <f>'总表-数据收集'!AT5</f>
        <v>36</v>
      </c>
      <c r="E49">
        <f>'总表-数据收集'!BS5</f>
        <v>4</v>
      </c>
      <c r="F49">
        <f>'总表-数据收集'!CR5</f>
        <v>9</v>
      </c>
      <c r="G49">
        <f>'总表-数据收集'!DQ5</f>
        <v>7</v>
      </c>
      <c r="H49">
        <f>'总表-数据收集'!EP10</f>
        <v>10</v>
      </c>
    </row>
    <row r="50" ht="18" hidden="1" spans="2:8">
      <c r="B50" s="45">
        <v>6</v>
      </c>
      <c r="C50" s="47"/>
      <c r="D50" t="e">
        <f>'总表-数据收集'!#REF!</f>
        <v>#REF!</v>
      </c>
      <c r="E50" t="e">
        <f>'总表-数据收集'!#REF!</f>
        <v>#REF!</v>
      </c>
      <c r="F50" t="e">
        <f>'总表-数据收集'!#REF!</f>
        <v>#REF!</v>
      </c>
      <c r="G50" t="e">
        <f>'总表-数据收集'!#REF!</f>
        <v>#REF!</v>
      </c>
      <c r="H50">
        <f>'总表-数据收集'!EP11</f>
        <v>10</v>
      </c>
    </row>
    <row r="51" ht="18" spans="2:8">
      <c r="B51" s="45">
        <v>6</v>
      </c>
      <c r="C51" s="48" t="s">
        <v>21</v>
      </c>
      <c r="D51">
        <f>'总表-数据收集'!AT6</f>
        <v>6</v>
      </c>
      <c r="E51">
        <f>'总表-数据收集'!BS6</f>
        <v>3</v>
      </c>
      <c r="F51">
        <f>'总表-数据收集'!CR6</f>
        <v>9</v>
      </c>
      <c r="G51">
        <f>'总表-数据收集'!DQ6</f>
        <v>12</v>
      </c>
      <c r="H51">
        <f>'总表-数据收集'!EP12</f>
        <v>10</v>
      </c>
    </row>
    <row r="52" ht="18" spans="2:8">
      <c r="B52" s="45">
        <v>7</v>
      </c>
      <c r="C52" s="47" t="s">
        <v>22</v>
      </c>
      <c r="D52">
        <f>'总表-数据收集'!AT7</f>
        <v>6</v>
      </c>
      <c r="E52">
        <f>'总表-数据收集'!BS7</f>
        <v>13</v>
      </c>
      <c r="F52">
        <f>'总表-数据收集'!CR7</f>
        <v>17</v>
      </c>
      <c r="G52">
        <f>'总表-数据收集'!DQ7</f>
        <v>16</v>
      </c>
      <c r="H52">
        <f>'总表-数据收集'!EP13</f>
        <v>6</v>
      </c>
    </row>
    <row r="53" ht="18" spans="2:8">
      <c r="B53" s="45">
        <v>8</v>
      </c>
      <c r="C53" s="49" t="s">
        <v>23</v>
      </c>
      <c r="D53">
        <f>'总表-数据收集'!AT8</f>
        <v>7</v>
      </c>
      <c r="E53">
        <f>'总表-数据收集'!BS8</f>
        <v>3</v>
      </c>
      <c r="F53">
        <f>'总表-数据收集'!CR8</f>
        <v>7</v>
      </c>
      <c r="G53">
        <f>'总表-数据收集'!DQ8</f>
        <v>3</v>
      </c>
      <c r="H53">
        <f>'总表-数据收集'!EP14</f>
        <v>25</v>
      </c>
    </row>
    <row r="54" ht="18" spans="2:8">
      <c r="B54" s="45">
        <v>9</v>
      </c>
      <c r="C54" s="50" t="s">
        <v>24</v>
      </c>
      <c r="D54">
        <f>'总表-数据收集'!AT9</f>
        <v>1</v>
      </c>
      <c r="E54">
        <f>'总表-数据收集'!BS9</f>
        <v>0</v>
      </c>
      <c r="F54">
        <f>'总表-数据收集'!CR9</f>
        <v>2</v>
      </c>
      <c r="G54">
        <f>'总表-数据收集'!DQ9</f>
        <v>2</v>
      </c>
      <c r="H54">
        <f>'总表-数据收集'!EP15</f>
        <v>27</v>
      </c>
    </row>
    <row r="55" ht="18" spans="2:8">
      <c r="B55" s="45">
        <v>10</v>
      </c>
      <c r="C55" s="49" t="s">
        <v>25</v>
      </c>
      <c r="D55">
        <f>'总表-数据收集'!AT10</f>
        <v>11</v>
      </c>
      <c r="E55">
        <f>'总表-数据收集'!BS10</f>
        <v>5</v>
      </c>
      <c r="F55">
        <f>'总表-数据收集'!CR10</f>
        <v>9</v>
      </c>
      <c r="G55">
        <f>'总表-数据收集'!DQ10</f>
        <v>7</v>
      </c>
      <c r="H55">
        <f>'总表-数据收集'!EP16</f>
        <v>5</v>
      </c>
    </row>
    <row r="56" ht="18" spans="2:8">
      <c r="B56" s="45">
        <v>11</v>
      </c>
      <c r="C56" s="51" t="s">
        <v>26</v>
      </c>
      <c r="D56">
        <f>'总表-数据收集'!AT11</f>
        <v>15</v>
      </c>
      <c r="E56">
        <f>'总表-数据收集'!BS11</f>
        <v>7</v>
      </c>
      <c r="F56">
        <f>'总表-数据收集'!CR11</f>
        <v>10</v>
      </c>
      <c r="G56">
        <f>'总表-数据收集'!DQ11</f>
        <v>5</v>
      </c>
      <c r="H56">
        <f>'总表-数据收集'!EP17</f>
        <v>4</v>
      </c>
    </row>
    <row r="57" ht="18" spans="2:8">
      <c r="B57" s="45">
        <v>12</v>
      </c>
      <c r="C57" s="49" t="s">
        <v>27</v>
      </c>
      <c r="D57">
        <f>'总表-数据收集'!AT12</f>
        <v>0</v>
      </c>
      <c r="E57">
        <f>'总表-数据收集'!BS12</f>
        <v>0</v>
      </c>
      <c r="F57">
        <f>'总表-数据收集'!CR12</f>
        <v>16</v>
      </c>
      <c r="G57">
        <f>'总表-数据收集'!DQ12</f>
        <v>9</v>
      </c>
      <c r="H57">
        <f>'总表-数据收集'!EP18</f>
        <v>4</v>
      </c>
    </row>
    <row r="58" ht="18" spans="2:8">
      <c r="B58" s="45">
        <v>13</v>
      </c>
      <c r="C58" s="52" t="s">
        <v>28</v>
      </c>
      <c r="D58">
        <f>'总表-数据收集'!AT13</f>
        <v>10</v>
      </c>
      <c r="E58">
        <f>'总表-数据收集'!BS13</f>
        <v>3</v>
      </c>
      <c r="F58">
        <f>'总表-数据收集'!CR13</f>
        <v>6</v>
      </c>
      <c r="G58">
        <f>'总表-数据收集'!DQ13</f>
        <v>2</v>
      </c>
      <c r="H58">
        <f>'总表-数据收集'!EP19</f>
        <v>0</v>
      </c>
    </row>
    <row r="59" ht="18" spans="2:8">
      <c r="B59" s="45">
        <v>14</v>
      </c>
      <c r="C59" s="49" t="s">
        <v>29</v>
      </c>
      <c r="D59">
        <f>'总表-数据收集'!AT14</f>
        <v>19</v>
      </c>
      <c r="E59">
        <f>'总表-数据收集'!BS14</f>
        <v>5</v>
      </c>
      <c r="F59">
        <f>'总表-数据收集'!CR14</f>
        <v>21</v>
      </c>
      <c r="G59">
        <f>'总表-数据收集'!DQ14</f>
        <v>22</v>
      </c>
      <c r="H59">
        <f>'总表-数据收集'!EP20</f>
        <v>0</v>
      </c>
    </row>
    <row r="60" ht="18" spans="2:8">
      <c r="B60" s="45">
        <v>15</v>
      </c>
      <c r="C60" s="52" t="s">
        <v>30</v>
      </c>
      <c r="D60">
        <f>'总表-数据收集'!AT15</f>
        <v>12</v>
      </c>
      <c r="E60">
        <f>'总表-数据收集'!BS15</f>
        <v>11</v>
      </c>
      <c r="F60">
        <f>'总表-数据收集'!CR15</f>
        <v>24</v>
      </c>
      <c r="G60">
        <f>'总表-数据收集'!DQ15</f>
        <v>35</v>
      </c>
      <c r="H60">
        <f>'总表-数据收集'!EP21</f>
        <v>5</v>
      </c>
    </row>
    <row r="61" ht="18" spans="2:8">
      <c r="B61" s="45">
        <v>16</v>
      </c>
      <c r="C61" s="49" t="s">
        <v>31</v>
      </c>
      <c r="D61">
        <f>'总表-数据收集'!AT16</f>
        <v>11</v>
      </c>
      <c r="E61">
        <f>'总表-数据收集'!BS16</f>
        <v>4</v>
      </c>
      <c r="F61">
        <f>'总表-数据收集'!CR16</f>
        <v>13</v>
      </c>
      <c r="G61">
        <f>'总表-数据收集'!DQ16</f>
        <v>5</v>
      </c>
      <c r="H61">
        <f>'总表-数据收集'!EP23</f>
        <v>166</v>
      </c>
    </row>
    <row r="62" ht="18" spans="2:8">
      <c r="B62" s="45">
        <v>17</v>
      </c>
      <c r="C62" s="52" t="s">
        <v>32</v>
      </c>
      <c r="D62">
        <f>'总表-数据收集'!AT17</f>
        <v>4</v>
      </c>
      <c r="E62">
        <f>'总表-数据收集'!BS17</f>
        <v>2</v>
      </c>
      <c r="F62">
        <f>'总表-数据收集'!CR17</f>
        <v>4</v>
      </c>
      <c r="G62">
        <f>'总表-数据收集'!DQ17</f>
        <v>11</v>
      </c>
      <c r="H62">
        <f>'总表-数据收集'!EP24</f>
        <v>0</v>
      </c>
    </row>
    <row r="63" ht="18" spans="2:8">
      <c r="B63" s="45">
        <v>18</v>
      </c>
      <c r="C63" s="49" t="s">
        <v>33</v>
      </c>
      <c r="D63">
        <f>'总表-数据收集'!AT18</f>
        <v>6</v>
      </c>
      <c r="E63">
        <f>'总表-数据收集'!BS18</f>
        <v>3</v>
      </c>
      <c r="F63">
        <f>'总表-数据收集'!CR18</f>
        <v>5</v>
      </c>
      <c r="G63">
        <f>'总表-数据收集'!DQ18</f>
        <v>3</v>
      </c>
      <c r="H63">
        <f>'总表-数据收集'!EP25</f>
        <v>0</v>
      </c>
    </row>
    <row r="64" ht="18" spans="2:8">
      <c r="B64" s="45">
        <v>19</v>
      </c>
      <c r="C64" s="47" t="s">
        <v>34</v>
      </c>
      <c r="D64">
        <f>'总表-数据收集'!AT19</f>
        <v>0</v>
      </c>
      <c r="E64">
        <f>'总表-数据收集'!BS19</f>
        <v>0</v>
      </c>
      <c r="F64">
        <f>'总表-数据收集'!CR19</f>
        <v>0</v>
      </c>
      <c r="G64">
        <f>'总表-数据收集'!DQ19</f>
        <v>0</v>
      </c>
      <c r="H64">
        <f>'总表-数据收集'!EP26</f>
        <v>0</v>
      </c>
    </row>
    <row r="65" ht="18" spans="2:8">
      <c r="B65" s="45">
        <v>20</v>
      </c>
      <c r="C65" s="47" t="s">
        <v>35</v>
      </c>
      <c r="D65">
        <f>'总表-数据收集'!AT20</f>
        <v>0</v>
      </c>
      <c r="E65">
        <f>'总表-数据收集'!BS20</f>
        <v>2</v>
      </c>
      <c r="F65">
        <f>'总表-数据收集'!CR20</f>
        <v>2</v>
      </c>
      <c r="G65">
        <f>'总表-数据收集'!DQ20</f>
        <v>13</v>
      </c>
      <c r="H65">
        <f>'总表-数据收集'!EP27</f>
        <v>0</v>
      </c>
    </row>
    <row r="66" ht="18" spans="2:8">
      <c r="B66" s="45">
        <v>21</v>
      </c>
      <c r="C66" s="47" t="s">
        <v>36</v>
      </c>
      <c r="D66">
        <f>'总表-数据收集'!AT21</f>
        <v>1</v>
      </c>
      <c r="E66">
        <f>'总表-数据收集'!BS21</f>
        <v>0</v>
      </c>
      <c r="F66">
        <f>'总表-数据收集'!CR21</f>
        <v>4</v>
      </c>
      <c r="G66">
        <f>'总表-数据收集'!DQ21</f>
        <v>7</v>
      </c>
      <c r="H66">
        <f>'总表-数据收集'!EP28</f>
        <v>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2"/>
  <sheetViews>
    <sheetView zoomScale="54" zoomScaleNormal="54" workbookViewId="0">
      <selection activeCell="V13" sqref="V13"/>
    </sheetView>
  </sheetViews>
  <sheetFormatPr defaultColWidth="8.25" defaultRowHeight="14"/>
  <cols>
    <col min="1" max="1" width="16.25" style="11" customWidth="1"/>
    <col min="2" max="2" width="10.25" style="11"/>
    <col min="3" max="3" width="8.675" style="11" customWidth="1"/>
    <col min="4" max="4" width="10.25" style="11"/>
    <col min="5" max="5" width="8.25" style="11"/>
    <col min="6" max="7" width="9.95833333333333" style="11" customWidth="1"/>
    <col min="8" max="14" width="8.25" style="11"/>
    <col min="15" max="15" width="16.25" style="11" customWidth="1"/>
    <col min="16" max="28" width="11.1833333333333" style="11" customWidth="1"/>
    <col min="29" max="29" width="16.25" style="11" customWidth="1"/>
    <col min="30" max="38" width="11.1833333333333" style="11" customWidth="1"/>
    <col min="39" max="39" width="9" style="11"/>
    <col min="40" max="40" width="10.4916666666667" style="11" customWidth="1"/>
    <col min="41" max="41" width="11.75" style="11"/>
    <col min="42" max="16384" width="8.25" style="11"/>
  </cols>
  <sheetData>
    <row r="1" s="11" customFormat="1" ht="25.9" customHeight="1" spans="1:39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1"/>
      <c r="O1" s="13" t="s">
        <v>114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="11" customFormat="1" ht="20.35" customHeight="1" spans="1:39">
      <c r="A2" s="14" t="s">
        <v>115</v>
      </c>
      <c r="B2" s="14" t="s">
        <v>116</v>
      </c>
      <c r="C2" s="15" t="s">
        <v>117</v>
      </c>
      <c r="D2" s="16" t="s">
        <v>118</v>
      </c>
      <c r="E2" s="17" t="s">
        <v>119</v>
      </c>
      <c r="F2" s="17" t="s">
        <v>120</v>
      </c>
      <c r="G2" s="17" t="s">
        <v>121</v>
      </c>
      <c r="H2" s="17" t="s">
        <v>122</v>
      </c>
      <c r="I2" s="17" t="s">
        <v>123</v>
      </c>
      <c r="J2" s="17" t="s">
        <v>124</v>
      </c>
      <c r="K2" s="17" t="s">
        <v>125</v>
      </c>
      <c r="L2" s="17" t="s">
        <v>126</v>
      </c>
      <c r="M2" s="17" t="s">
        <v>127</v>
      </c>
      <c r="N2" s="11"/>
      <c r="O2" s="14" t="s">
        <v>115</v>
      </c>
      <c r="P2" s="14" t="s">
        <v>116</v>
      </c>
      <c r="Q2" s="15" t="s">
        <v>117</v>
      </c>
      <c r="R2" s="16" t="s">
        <v>118</v>
      </c>
      <c r="S2" s="17" t="s">
        <v>119</v>
      </c>
      <c r="T2" s="17" t="s">
        <v>120</v>
      </c>
      <c r="U2" s="17" t="s">
        <v>121</v>
      </c>
      <c r="V2" s="17" t="s">
        <v>122</v>
      </c>
      <c r="W2" s="17" t="s">
        <v>123</v>
      </c>
      <c r="X2" s="17" t="s">
        <v>124</v>
      </c>
      <c r="Y2" s="17" t="s">
        <v>125</v>
      </c>
      <c r="Z2" s="17" t="s">
        <v>126</v>
      </c>
      <c r="AA2" s="17" t="s">
        <v>127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</row>
    <row r="3" s="11" customFormat="1" ht="20.35" customHeight="1" spans="1:39">
      <c r="A3" s="19" t="s">
        <v>20</v>
      </c>
      <c r="B3" s="19">
        <f>VLOOKUP(A3,'[4]2026月度数据对比'!$A$2:$B$18,2,FALSE)</f>
        <v>36</v>
      </c>
      <c r="C3" s="19">
        <f>VLOOKUP(A3,'[4]2026月度数据对比'!$A$3:$C$18,3,FALSE)</f>
        <v>4</v>
      </c>
      <c r="D3" s="19">
        <v>9</v>
      </c>
      <c r="E3" s="19">
        <v>7</v>
      </c>
      <c r="F3" s="19">
        <v>8</v>
      </c>
      <c r="G3" s="19"/>
      <c r="H3" s="19"/>
      <c r="I3" s="19"/>
      <c r="J3" s="19"/>
      <c r="K3" s="19"/>
      <c r="L3" s="19"/>
      <c r="M3" s="19"/>
      <c r="N3" s="11"/>
      <c r="O3" s="19" t="s">
        <v>20</v>
      </c>
      <c r="P3" s="20">
        <f>VLOOKUP(O3,'[4]2026月度数据对比'!$O$3:$P$18,2,FALSE)</f>
        <v>0.31</v>
      </c>
      <c r="Q3" s="20">
        <f>VLOOKUP(O3,'[4]2026月度数据对比'!$O$3:$Q$18,3,FALSE)</f>
        <v>0.1</v>
      </c>
      <c r="R3" s="20">
        <v>0.158</v>
      </c>
      <c r="S3" s="20">
        <v>0.008</v>
      </c>
      <c r="T3" s="20">
        <v>0.2</v>
      </c>
      <c r="U3" s="21"/>
      <c r="V3" s="21"/>
      <c r="W3" s="21"/>
      <c r="X3" s="20"/>
      <c r="Y3" s="20"/>
      <c r="Z3" s="20"/>
      <c r="AA3" s="20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s="11" customFormat="1" ht="20.35" customHeight="1" spans="1:39">
      <c r="A4" s="19" t="s">
        <v>21</v>
      </c>
      <c r="B4" s="19">
        <v>6</v>
      </c>
      <c r="C4" s="19">
        <v>3</v>
      </c>
      <c r="D4" s="19">
        <v>9</v>
      </c>
      <c r="E4" s="19">
        <v>12</v>
      </c>
      <c r="F4" s="19">
        <v>10</v>
      </c>
      <c r="G4" s="19"/>
      <c r="H4" s="19"/>
      <c r="I4" s="19"/>
      <c r="J4" s="19"/>
      <c r="K4" s="19"/>
      <c r="L4" s="19"/>
      <c r="M4" s="19"/>
      <c r="O4" s="19" t="s">
        <v>21</v>
      </c>
      <c r="P4" s="20">
        <v>0.12</v>
      </c>
      <c r="Q4" s="20">
        <v>0.23</v>
      </c>
      <c r="R4" s="20">
        <v>0.13</v>
      </c>
      <c r="S4" s="20">
        <v>0.1043</v>
      </c>
      <c r="T4" s="20">
        <v>0.16</v>
      </c>
      <c r="U4" s="20"/>
      <c r="V4" s="20"/>
      <c r="W4" s="20"/>
      <c r="X4" s="20"/>
      <c r="Y4" s="20"/>
      <c r="Z4" s="20"/>
      <c r="AA4" s="20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="11" customFormat="1" ht="20.35" customHeight="1" spans="1:39">
      <c r="A5" s="19" t="s">
        <v>22</v>
      </c>
      <c r="B5" s="19">
        <f>VLOOKUP(A5,'[4]2026月度数据对比'!$A$2:$B$18,2,FALSE)</f>
        <v>6</v>
      </c>
      <c r="C5" s="19">
        <f>VLOOKUP(A5,'[4]2026月度数据对比'!$A$3:$C$18,3,FALSE)</f>
        <v>13</v>
      </c>
      <c r="D5" s="19">
        <v>17</v>
      </c>
      <c r="E5" s="19">
        <v>16</v>
      </c>
      <c r="F5" s="19">
        <v>15</v>
      </c>
      <c r="G5" s="19"/>
      <c r="H5" s="19"/>
      <c r="I5" s="19"/>
      <c r="J5" s="19"/>
      <c r="K5" s="19"/>
      <c r="L5" s="19"/>
      <c r="M5" s="19"/>
      <c r="N5" s="11"/>
      <c r="O5" s="19" t="s">
        <v>22</v>
      </c>
      <c r="P5" s="20">
        <f>VLOOKUP(O5,'[4]2026月度数据对比'!$O$3:$P$18,2,FALSE)</f>
        <v>0.06</v>
      </c>
      <c r="Q5" s="20">
        <f>VLOOKUP(O5,'[4]2026月度数据对比'!$O$3:$Q$18,3,FALSE)</f>
        <v>0.6</v>
      </c>
      <c r="R5" s="20">
        <v>0.346</v>
      </c>
      <c r="S5" s="20">
        <v>0.1</v>
      </c>
      <c r="T5" s="20">
        <v>0.2</v>
      </c>
      <c r="U5" s="20"/>
      <c r="V5" s="20"/>
      <c r="W5" s="20"/>
      <c r="X5" s="20"/>
      <c r="Y5" s="20"/>
      <c r="Z5" s="20"/>
      <c r="AA5" s="20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="11" customFormat="1" ht="20.35" customHeight="1" spans="1:39">
      <c r="A6" s="19" t="s">
        <v>23</v>
      </c>
      <c r="B6" s="19">
        <f>VLOOKUP(A6,'[4]2026月度数据对比'!$A$2:$B$18,2,FALSE)</f>
        <v>7</v>
      </c>
      <c r="C6" s="19">
        <f>VLOOKUP(A6,'[4]2026月度数据对比'!$A$3:$C$18,3,FALSE)</f>
        <v>3</v>
      </c>
      <c r="D6" s="19">
        <v>7</v>
      </c>
      <c r="E6" s="19">
        <v>3</v>
      </c>
      <c r="F6" s="19">
        <v>6</v>
      </c>
      <c r="G6" s="19"/>
      <c r="H6" s="19"/>
      <c r="I6" s="19"/>
      <c r="J6" s="19"/>
      <c r="K6" s="19"/>
      <c r="L6" s="19"/>
      <c r="M6" s="19"/>
      <c r="N6" s="11"/>
      <c r="O6" s="19" t="s">
        <v>23</v>
      </c>
      <c r="P6" s="20">
        <f>VLOOKUP(O6,'[4]2026月度数据对比'!$O$3:$P$18,2,FALSE)</f>
        <v>0.12</v>
      </c>
      <c r="Q6" s="20">
        <f>VLOOKUP(O6,'[4]2026月度数据对比'!$O$3:$Q$18,3,FALSE)</f>
        <v>0.17</v>
      </c>
      <c r="R6" s="20">
        <v>0.18</v>
      </c>
      <c r="S6" s="20">
        <v>0.1</v>
      </c>
      <c r="T6" s="20">
        <v>0.16</v>
      </c>
      <c r="U6" s="20"/>
      <c r="V6" s="20"/>
      <c r="W6" s="20"/>
      <c r="X6" s="20"/>
      <c r="Y6" s="20"/>
      <c r="Z6" s="20"/>
      <c r="AA6" s="20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="11" customFormat="1" ht="20.35" customHeight="1" spans="1:39">
      <c r="A7" s="19" t="s">
        <v>24</v>
      </c>
      <c r="B7" s="19">
        <f>VLOOKUP(A7,'[4]2026月度数据对比'!$A$2:$B$18,2,FALSE)</f>
        <v>1</v>
      </c>
      <c r="C7" s="19">
        <f>VLOOKUP(A7,'[4]2026月度数据对比'!$A$3:$C$18,3,FALSE)</f>
        <v>0</v>
      </c>
      <c r="D7" s="19">
        <v>2</v>
      </c>
      <c r="E7" s="19">
        <v>2</v>
      </c>
      <c r="F7" s="19">
        <v>4</v>
      </c>
      <c r="G7" s="19"/>
      <c r="H7" s="19"/>
      <c r="I7" s="19"/>
      <c r="J7" s="19"/>
      <c r="K7" s="19"/>
      <c r="L7" s="19"/>
      <c r="M7" s="19"/>
      <c r="N7" s="11"/>
      <c r="O7" s="19" t="s">
        <v>24</v>
      </c>
      <c r="P7" s="20">
        <f>VLOOKUP(O7,'[4]2026月度数据对比'!$O$3:$P$18,2,FALSE)</f>
        <v>0</v>
      </c>
      <c r="Q7" s="20">
        <f>VLOOKUP(O7,'[4]2026月度数据对比'!$O$3:$Q$18,3,FALSE)</f>
        <v>0</v>
      </c>
      <c r="R7" s="20">
        <v>0.03</v>
      </c>
      <c r="S7" s="20">
        <v>0.067</v>
      </c>
      <c r="T7" s="20">
        <v>0.083</v>
      </c>
      <c r="U7" s="20"/>
      <c r="V7" s="20"/>
      <c r="W7" s="20"/>
      <c r="X7" s="20"/>
      <c r="Y7" s="20"/>
      <c r="Z7" s="20"/>
      <c r="AA7" s="20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="11" customFormat="1" ht="20.35" customHeight="1" spans="1:39">
      <c r="A8" s="19" t="s">
        <v>25</v>
      </c>
      <c r="B8" s="19">
        <f>VLOOKUP(A8,'[4]2026月度数据对比'!$A$2:$B$18,2,FALSE)</f>
        <v>11</v>
      </c>
      <c r="C8" s="19">
        <f>VLOOKUP(A8,'[4]2026月度数据对比'!$A$3:$C$18,3,FALSE)</f>
        <v>5</v>
      </c>
      <c r="D8" s="19">
        <v>9</v>
      </c>
      <c r="E8" s="23">
        <v>7</v>
      </c>
      <c r="F8" s="23">
        <v>8</v>
      </c>
      <c r="G8" s="23"/>
      <c r="H8" s="23"/>
      <c r="I8" s="23"/>
      <c r="J8" s="23"/>
      <c r="K8" s="23"/>
      <c r="L8" s="23"/>
      <c r="M8" s="19"/>
      <c r="N8" s="11"/>
      <c r="O8" s="19" t="s">
        <v>25</v>
      </c>
      <c r="P8" s="20">
        <f>VLOOKUP(O8,'[4]2026月度数据对比'!$O$3:$P$18,2,FALSE)</f>
        <v>0.21</v>
      </c>
      <c r="Q8" s="20">
        <f>VLOOKUP(O8,'[4]2026月度数据对比'!$O$3:$Q$18,3,FALSE)</f>
        <v>0.11</v>
      </c>
      <c r="R8" s="20">
        <v>0.2</v>
      </c>
      <c r="S8" s="24">
        <v>0.17</v>
      </c>
      <c r="T8" s="24">
        <v>0.236</v>
      </c>
      <c r="U8" s="24"/>
      <c r="V8" s="24"/>
      <c r="W8" s="24"/>
      <c r="X8" s="24"/>
      <c r="Y8" s="24"/>
      <c r="Z8" s="24"/>
      <c r="AA8" s="20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="11" customFormat="1" ht="20.35" customHeight="1" spans="1:39">
      <c r="A9" s="19" t="s">
        <v>26</v>
      </c>
      <c r="B9" s="19">
        <f>VLOOKUP(A9,'[4]2026月度数据对比'!$A$2:$B$18,2,FALSE)</f>
        <v>15</v>
      </c>
      <c r="C9" s="19">
        <f>VLOOKUP(A9,'[4]2026月度数据对比'!$A$3:$C$18,3,FALSE)</f>
        <v>7</v>
      </c>
      <c r="D9" s="19">
        <v>10</v>
      </c>
      <c r="E9" s="23">
        <v>5</v>
      </c>
      <c r="F9" s="23">
        <v>8</v>
      </c>
      <c r="G9" s="23"/>
      <c r="H9" s="23"/>
      <c r="I9" s="23"/>
      <c r="J9" s="23"/>
      <c r="K9" s="23"/>
      <c r="L9" s="23"/>
      <c r="M9" s="23"/>
      <c r="N9" s="11"/>
      <c r="O9" s="19" t="s">
        <v>26</v>
      </c>
      <c r="P9" s="20">
        <f>VLOOKUP(O9,'[4]2026月度数据对比'!$O$3:$P$18,2,FALSE)</f>
        <v>0.15</v>
      </c>
      <c r="Q9" s="20">
        <f>VLOOKUP(O9,'[4]2026月度数据对比'!$O$3:$Q$18,3,FALSE)</f>
        <v>0.15</v>
      </c>
      <c r="R9" s="20">
        <v>0.15</v>
      </c>
      <c r="S9" s="24">
        <v>0.15</v>
      </c>
      <c r="T9" s="24">
        <v>0.15</v>
      </c>
      <c r="U9" s="24"/>
      <c r="V9" s="24"/>
      <c r="W9" s="24"/>
      <c r="X9" s="24"/>
      <c r="Y9" s="24"/>
      <c r="Z9" s="24"/>
      <c r="AA9" s="24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s="11" customFormat="1" ht="20.35" customHeight="1" spans="1:39">
      <c r="A10" s="19" t="s">
        <v>27</v>
      </c>
      <c r="B10" s="19"/>
      <c r="C10" s="19"/>
      <c r="D10" s="19">
        <v>16</v>
      </c>
      <c r="E10" s="23">
        <v>9</v>
      </c>
      <c r="F10" s="23">
        <v>9</v>
      </c>
      <c r="G10" s="23"/>
      <c r="H10" s="23"/>
      <c r="I10" s="23"/>
      <c r="J10" s="23"/>
      <c r="K10" s="23"/>
      <c r="L10" s="23"/>
      <c r="M10" s="23"/>
      <c r="N10" s="11"/>
      <c r="O10" s="19" t="s">
        <v>27</v>
      </c>
      <c r="P10" s="20"/>
      <c r="Q10" s="20"/>
      <c r="R10" s="20">
        <v>0.15</v>
      </c>
      <c r="S10" s="24">
        <v>0.12</v>
      </c>
      <c r="T10" s="26">
        <v>0.21</v>
      </c>
      <c r="U10" s="24"/>
      <c r="V10" s="24"/>
      <c r="W10" s="24"/>
      <c r="X10" s="24"/>
      <c r="Y10" s="24"/>
      <c r="Z10" s="24"/>
      <c r="AA10" s="24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s="11" customFormat="1" ht="20.35" customHeight="1" spans="1:39">
      <c r="A11" s="19" t="s">
        <v>28</v>
      </c>
      <c r="B11" s="19">
        <f>VLOOKUP(A11,'[4]2026月度数据对比'!$A$2:$B$18,2,FALSE)</f>
        <v>10</v>
      </c>
      <c r="C11" s="19">
        <f>VLOOKUP(A11,'[4]2026月度数据对比'!$A$3:$C$18,3,FALSE)</f>
        <v>3</v>
      </c>
      <c r="D11" s="19">
        <v>6</v>
      </c>
      <c r="E11" s="23">
        <v>2</v>
      </c>
      <c r="F11" s="23">
        <v>4</v>
      </c>
      <c r="G11" s="23"/>
      <c r="H11" s="23"/>
      <c r="I11" s="23"/>
      <c r="J11" s="23"/>
      <c r="K11" s="23"/>
      <c r="L11" s="23"/>
      <c r="M11" s="23"/>
      <c r="N11" s="11"/>
      <c r="O11" s="19" t="s">
        <v>28</v>
      </c>
      <c r="P11" s="20">
        <f>VLOOKUP(O11,'[4]2026月度数据对比'!$O$3:$P$18,2,FALSE)</f>
        <v>0.1</v>
      </c>
      <c r="Q11" s="20">
        <f>VLOOKUP(O11,'[4]2026月度数据对比'!$O$3:$Q$18,3,FALSE)</f>
        <v>0.25</v>
      </c>
      <c r="R11" s="20">
        <v>0.1</v>
      </c>
      <c r="S11" s="24">
        <v>0.1</v>
      </c>
      <c r="T11" s="24">
        <v>0.05</v>
      </c>
      <c r="U11" s="24"/>
      <c r="V11" s="24"/>
      <c r="W11" s="24"/>
      <c r="X11" s="24"/>
      <c r="Y11" s="24"/>
      <c r="Z11" s="24"/>
      <c r="AA11" s="24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s="11" customFormat="1" ht="16.5" spans="1:39">
      <c r="A12" s="19" t="s">
        <v>29</v>
      </c>
      <c r="B12" s="19">
        <f>VLOOKUP(A12,'[4]2026月度数据对比'!$A$2:$B$18,2,FALSE)</f>
        <v>19</v>
      </c>
      <c r="C12" s="19">
        <f>VLOOKUP(A12,'[4]2026月度数据对比'!$A$3:$C$18,3,FALSE)</f>
        <v>5</v>
      </c>
      <c r="D12" s="19">
        <v>21</v>
      </c>
      <c r="E12" s="23">
        <v>22</v>
      </c>
      <c r="F12" s="23">
        <v>20</v>
      </c>
      <c r="G12" s="23"/>
      <c r="H12" s="23"/>
      <c r="I12" s="23"/>
      <c r="J12" s="23"/>
      <c r="K12" s="23"/>
      <c r="L12" s="23"/>
      <c r="M12" s="23"/>
      <c r="N12" s="11"/>
      <c r="O12" s="19" t="s">
        <v>29</v>
      </c>
      <c r="P12" s="20">
        <f>VLOOKUP(O12,'[4]2026月度数据对比'!$O$3:$P$18,2,FALSE)</f>
        <v>0.1</v>
      </c>
      <c r="Q12" s="20">
        <f>VLOOKUP(O12,'[4]2026月度数据对比'!$O$3:$Q$18,3,FALSE)</f>
        <v>0.22</v>
      </c>
      <c r="R12" s="20">
        <v>0.102</v>
      </c>
      <c r="S12" s="24">
        <v>0.169</v>
      </c>
      <c r="T12" s="24">
        <v>0.174</v>
      </c>
      <c r="U12" s="24"/>
      <c r="V12" s="24"/>
      <c r="W12" s="24"/>
      <c r="X12" s="24"/>
      <c r="Y12" s="24"/>
      <c r="Z12" s="24"/>
      <c r="AA12" s="24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="11" customFormat="1" ht="16.5" spans="1:39">
      <c r="A13" s="19" t="s">
        <v>30</v>
      </c>
      <c r="B13" s="19">
        <f>VLOOKUP(A13,'[4]2026月度数据对比'!$A$2:$B$18,2,FALSE)</f>
        <v>12</v>
      </c>
      <c r="C13" s="19">
        <f>VLOOKUP(A13,'[4]2026月度数据对比'!$A$3:$C$18,3,FALSE)</f>
        <v>11</v>
      </c>
      <c r="D13" s="19">
        <v>24</v>
      </c>
      <c r="E13" s="23">
        <v>35</v>
      </c>
      <c r="F13" s="23">
        <v>22</v>
      </c>
      <c r="G13" s="23"/>
      <c r="H13" s="23"/>
      <c r="I13" s="23"/>
      <c r="J13" s="23"/>
      <c r="K13" s="23"/>
      <c r="L13" s="23"/>
      <c r="M13" s="23"/>
      <c r="N13" s="11"/>
      <c r="O13" s="19" t="s">
        <v>30</v>
      </c>
      <c r="P13" s="20">
        <f>VLOOKUP(O13,'[4]2026月度数据对比'!$O$3:$P$18,2,FALSE)</f>
        <v>0.17</v>
      </c>
      <c r="Q13" s="20">
        <f>VLOOKUP(O13,'[4]2026月度数据对比'!$O$3:$Q$18,3,FALSE)</f>
        <v>0.33</v>
      </c>
      <c r="R13" s="20">
        <v>0.2</v>
      </c>
      <c r="S13" s="24">
        <v>0.2</v>
      </c>
      <c r="T13" s="24">
        <v>0.2</v>
      </c>
      <c r="U13" s="24"/>
      <c r="V13" s="24"/>
      <c r="W13" s="24"/>
      <c r="X13" s="24"/>
      <c r="Y13" s="24"/>
      <c r="Z13" s="24"/>
      <c r="AA13" s="24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t="16.5" spans="1:39">
      <c r="A14" s="19" t="s">
        <v>31</v>
      </c>
      <c r="B14" s="19">
        <f>VLOOKUP(A14,'[4]2026月度数据对比'!$A$2:$B$18,2,FALSE)</f>
        <v>11</v>
      </c>
      <c r="C14" s="19">
        <f>VLOOKUP(A14,'[4]2026月度数据对比'!$A$3:$C$18,3,FALSE)</f>
        <v>4</v>
      </c>
      <c r="D14" s="19">
        <v>13</v>
      </c>
      <c r="E14" s="23">
        <v>5</v>
      </c>
      <c r="F14" s="23">
        <v>4</v>
      </c>
      <c r="G14" s="23"/>
      <c r="H14" s="23"/>
      <c r="I14" s="23"/>
      <c r="J14" s="23"/>
      <c r="K14" s="23"/>
      <c r="L14" s="23"/>
      <c r="M14" s="27"/>
      <c r="O14" s="19" t="s">
        <v>31</v>
      </c>
      <c r="P14" s="20">
        <f>VLOOKUP(O14,'[4]2026月度数据对比'!$O$3:$P$18,2,FALSE)</f>
        <v>0.26</v>
      </c>
      <c r="Q14" s="20">
        <f>VLOOKUP(O14,'[4]2026月度数据对比'!$O$3:$Q$18,3,FALSE)</f>
        <v>0.25</v>
      </c>
      <c r="R14" s="20">
        <v>0.13</v>
      </c>
      <c r="S14" s="24">
        <v>0.062</v>
      </c>
      <c r="T14" s="28">
        <v>0.084</v>
      </c>
      <c r="U14" s="27"/>
      <c r="V14" s="27"/>
      <c r="W14" s="27"/>
      <c r="X14" s="27"/>
      <c r="Y14" s="27"/>
      <c r="Z14" s="27"/>
      <c r="AA14" s="27"/>
    </row>
    <row r="15" ht="16.5" spans="1:39">
      <c r="A15" s="19" t="s">
        <v>32</v>
      </c>
      <c r="B15" s="19">
        <f>VLOOKUP(A15,'[4]2026月度数据对比'!$A$2:$B$18,2,FALSE)</f>
        <v>4</v>
      </c>
      <c r="C15" s="19">
        <f>VLOOKUP(A15,'[4]2026月度数据对比'!$A$3:$C$18,3,FALSE)</f>
        <v>2</v>
      </c>
      <c r="D15" s="19">
        <v>4</v>
      </c>
      <c r="E15" s="23">
        <v>11</v>
      </c>
      <c r="F15" s="23">
        <v>4</v>
      </c>
      <c r="G15" s="23"/>
      <c r="H15" s="23"/>
      <c r="I15" s="23"/>
      <c r="J15" s="23"/>
      <c r="K15" s="23"/>
      <c r="L15" s="23"/>
      <c r="M15" s="27"/>
      <c r="O15" s="19" t="s">
        <v>32</v>
      </c>
      <c r="P15" s="20">
        <f>VLOOKUP(O15,'[4]2026月度数据对比'!$O$3:$P$18,2,FALSE)</f>
        <v>0.22</v>
      </c>
      <c r="Q15" s="20">
        <f>VLOOKUP(O15,'[4]2026月度数据对比'!$O$3:$Q$18,3,FALSE)</f>
        <v>0.18</v>
      </c>
      <c r="R15" s="20">
        <v>0.29</v>
      </c>
      <c r="S15" s="24">
        <v>0.15</v>
      </c>
      <c r="T15" s="24">
        <v>0</v>
      </c>
      <c r="U15" s="27"/>
      <c r="V15" s="27"/>
      <c r="W15" s="27"/>
      <c r="X15" s="27"/>
      <c r="Y15" s="27"/>
      <c r="Z15" s="27"/>
      <c r="AA15" s="27"/>
    </row>
    <row r="16" ht="16.5" spans="1:39">
      <c r="A16" s="19" t="s">
        <v>33</v>
      </c>
      <c r="B16" s="19">
        <f>VLOOKUP(A16,'[4]2026月度数据对比'!$A$2:$B$18,2,FALSE)</f>
        <v>6</v>
      </c>
      <c r="C16" s="19">
        <f>VLOOKUP(A16,'[4]2026月度数据对比'!$A$3:$C$18,3,FALSE)</f>
        <v>3</v>
      </c>
      <c r="D16" s="19">
        <v>5</v>
      </c>
      <c r="E16" s="23">
        <v>3</v>
      </c>
      <c r="F16" s="23">
        <v>1</v>
      </c>
      <c r="G16" s="23"/>
      <c r="H16" s="23"/>
      <c r="I16" s="23"/>
      <c r="J16" s="23"/>
      <c r="K16" s="23"/>
      <c r="L16" s="23"/>
      <c r="M16" s="27"/>
      <c r="O16" s="19" t="s">
        <v>33</v>
      </c>
      <c r="P16" s="20">
        <f>VLOOKUP(O16,'[4]2026月度数据对比'!$O$3:$P$18,2,FALSE)</f>
        <v>0.1</v>
      </c>
      <c r="Q16" s="20">
        <f>VLOOKUP(O16,'[4]2026月度数据对比'!$O$3:$Q$18,3,FALSE)</f>
        <v>0</v>
      </c>
      <c r="R16" s="29">
        <v>0.11</v>
      </c>
      <c r="S16" s="24">
        <v>0.067</v>
      </c>
      <c r="T16" s="24">
        <v>0</v>
      </c>
      <c r="U16" s="27"/>
      <c r="V16" s="27"/>
      <c r="W16" s="27"/>
      <c r="X16" s="27"/>
      <c r="Y16" s="27"/>
      <c r="Z16" s="27"/>
      <c r="AA16" s="27"/>
    </row>
    <row r="17" ht="16.5" spans="1:41">
      <c r="A17" s="19" t="s">
        <v>34</v>
      </c>
      <c r="B17" s="19">
        <f>VLOOKUP(A17,'[4]2026月度数据对比'!$A$2:$B$18,2,FALSE)</f>
        <v>0</v>
      </c>
      <c r="C17" s="19">
        <f>VLOOKUP(A17,'[4]2026月度数据对比'!$A$3:$C$18,3,FALSE)</f>
        <v>0</v>
      </c>
      <c r="D17" s="19">
        <v>0</v>
      </c>
      <c r="E17" s="23">
        <v>0</v>
      </c>
      <c r="F17" s="23">
        <v>0</v>
      </c>
      <c r="G17" s="23"/>
      <c r="H17" s="23"/>
      <c r="I17" s="23"/>
      <c r="J17" s="23"/>
      <c r="K17" s="23"/>
      <c r="L17" s="23"/>
      <c r="M17" s="27"/>
      <c r="O17" s="19" t="s">
        <v>34</v>
      </c>
      <c r="P17" s="20">
        <f>VLOOKUP(O17,'[4]2026月度数据对比'!$O$3:$P$18,2,FALSE)</f>
        <v>0</v>
      </c>
      <c r="Q17" s="20">
        <f>VLOOKUP(O17,'[4]2026月度数据对比'!$O$3:$Q$18,3,FALSE)</f>
        <v>0</v>
      </c>
      <c r="R17" s="20">
        <v>0</v>
      </c>
      <c r="S17" s="24">
        <v>0</v>
      </c>
      <c r="T17" s="24">
        <v>0</v>
      </c>
      <c r="U17" s="27"/>
      <c r="V17" s="27"/>
      <c r="W17" s="27"/>
      <c r="X17" s="27"/>
      <c r="Y17" s="27"/>
      <c r="Z17" s="27"/>
      <c r="AA17" s="27"/>
    </row>
    <row r="18" ht="16.5" spans="1:41">
      <c r="A18" s="19" t="s">
        <v>35</v>
      </c>
      <c r="B18" s="19">
        <f>VLOOKUP(A18,'[4]2026月度数据对比'!$A$2:$B$18,2,FALSE)</f>
        <v>0</v>
      </c>
      <c r="C18" s="19">
        <f>VLOOKUP(A18,'[4]2026月度数据对比'!$A$3:$C$18,3,FALSE)</f>
        <v>2</v>
      </c>
      <c r="D18" s="19">
        <v>2</v>
      </c>
      <c r="E18" s="23">
        <v>13</v>
      </c>
      <c r="F18" s="23">
        <v>0</v>
      </c>
      <c r="G18" s="23"/>
      <c r="H18" s="23"/>
      <c r="I18" s="23"/>
      <c r="J18" s="23"/>
      <c r="K18" s="23"/>
      <c r="L18" s="23"/>
      <c r="M18" s="27"/>
      <c r="O18" s="19" t="s">
        <v>35</v>
      </c>
      <c r="P18" s="20">
        <f>VLOOKUP(O18,'[4]2026月度数据对比'!$O$3:$P$18,2,FALSE)</f>
        <v>0</v>
      </c>
      <c r="Q18" s="20">
        <f>VLOOKUP(O18,'[4]2026月度数据对比'!$O$3:$Q$18,3,FALSE)</f>
        <v>0.25</v>
      </c>
      <c r="R18" s="29">
        <v>0.23</v>
      </c>
      <c r="S18" s="24">
        <v>0.06</v>
      </c>
      <c r="T18" s="28">
        <v>0</v>
      </c>
      <c r="U18" s="27"/>
      <c r="V18" s="27"/>
      <c r="W18" s="27"/>
      <c r="X18" s="27"/>
      <c r="Y18" s="27"/>
      <c r="Z18" s="27"/>
      <c r="AA18" s="27"/>
    </row>
    <row r="19" ht="16.5" spans="1:41">
      <c r="A19" s="19" t="s">
        <v>36</v>
      </c>
      <c r="B19" s="19">
        <f>VLOOKUP(A19,'[4]2026月度数据对比'!$A$2:$B$18,2,FALSE)</f>
        <v>1</v>
      </c>
      <c r="C19" s="19">
        <f>VLOOKUP(A19,'[4]2026月度数据对比'!$A$3:$C$18,3,FALSE)</f>
        <v>0</v>
      </c>
      <c r="D19" s="19">
        <v>4</v>
      </c>
      <c r="E19" s="23">
        <v>7</v>
      </c>
      <c r="F19" s="23">
        <v>4</v>
      </c>
      <c r="G19" s="23"/>
      <c r="H19" s="23"/>
      <c r="I19" s="23"/>
      <c r="J19" s="23"/>
      <c r="K19" s="23"/>
      <c r="L19" s="23"/>
      <c r="M19" s="27"/>
      <c r="O19" s="19" t="s">
        <v>36</v>
      </c>
      <c r="P19" s="20">
        <f>VLOOKUP(O19,'[4]2026月度数据对比'!$O$3:$P$18,2,FALSE)</f>
        <v>0.1</v>
      </c>
      <c r="Q19" s="20">
        <f>VLOOKUP(O19,'[4]2026月度数据对比'!$O$3:$Q$18,3,FALSE)</f>
        <v>0</v>
      </c>
      <c r="R19" s="20">
        <v>0.2</v>
      </c>
      <c r="S19" s="24">
        <v>0.043</v>
      </c>
      <c r="T19" s="24">
        <v>0.207</v>
      </c>
      <c r="U19" s="27"/>
      <c r="V19" s="27"/>
      <c r="W19" s="27"/>
      <c r="X19" s="27"/>
      <c r="Y19" s="27"/>
      <c r="Z19" s="27"/>
      <c r="AA19" s="27"/>
    </row>
    <row r="20" ht="16.5" spans="1:41">
      <c r="A20" s="19" t="s">
        <v>37</v>
      </c>
      <c r="B20" s="19"/>
      <c r="C20" s="19"/>
      <c r="D20" s="19"/>
      <c r="E20" s="23"/>
      <c r="F20" s="23">
        <v>0</v>
      </c>
      <c r="G20" s="23"/>
      <c r="H20" s="23"/>
      <c r="I20" s="23"/>
      <c r="J20" s="23"/>
      <c r="K20" s="23"/>
      <c r="L20" s="23"/>
      <c r="M20" s="27"/>
      <c r="O20" s="19" t="s">
        <v>37</v>
      </c>
      <c r="P20" s="24"/>
      <c r="Q20" s="24"/>
      <c r="R20" s="24"/>
      <c r="S20" s="24"/>
      <c r="T20" s="28">
        <v>0</v>
      </c>
      <c r="U20" s="27"/>
      <c r="V20" s="27"/>
      <c r="W20" s="27"/>
      <c r="X20" s="27"/>
      <c r="Y20" s="27"/>
      <c r="Z20" s="27"/>
      <c r="AA20" s="27"/>
    </row>
    <row r="22" s="11" customFormat="1" ht="25" spans="1:41">
      <c r="A22" s="12" t="s">
        <v>128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1"/>
      <c r="O22" s="13" t="s">
        <v>129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12"/>
    </row>
    <row r="23" s="11" customFormat="1" ht="16.5" spans="1:41">
      <c r="A23" s="14" t="s">
        <v>115</v>
      </c>
      <c r="B23" s="14" t="s">
        <v>116</v>
      </c>
      <c r="C23" s="15" t="s">
        <v>117</v>
      </c>
      <c r="D23" s="16" t="s">
        <v>118</v>
      </c>
      <c r="E23" s="17" t="s">
        <v>119</v>
      </c>
      <c r="F23" s="17" t="s">
        <v>120</v>
      </c>
      <c r="G23" s="17" t="s">
        <v>121</v>
      </c>
      <c r="H23" s="17" t="s">
        <v>122</v>
      </c>
      <c r="I23" s="17" t="s">
        <v>123</v>
      </c>
      <c r="J23" s="17" t="s">
        <v>124</v>
      </c>
      <c r="K23" s="17" t="s">
        <v>125</v>
      </c>
      <c r="L23" s="17" t="s">
        <v>126</v>
      </c>
      <c r="M23" s="17" t="s">
        <v>127</v>
      </c>
      <c r="N23" s="11"/>
      <c r="O23" s="14" t="s">
        <v>115</v>
      </c>
      <c r="P23" s="14" t="s">
        <v>116</v>
      </c>
      <c r="Q23" s="15" t="s">
        <v>117</v>
      </c>
      <c r="R23" s="16" t="s">
        <v>118</v>
      </c>
      <c r="S23" s="17" t="s">
        <v>119</v>
      </c>
      <c r="T23" s="17" t="s">
        <v>120</v>
      </c>
      <c r="U23" s="17" t="s">
        <v>121</v>
      </c>
      <c r="V23" s="17" t="s">
        <v>122</v>
      </c>
      <c r="W23" s="17" t="s">
        <v>123</v>
      </c>
      <c r="X23" s="17" t="s">
        <v>124</v>
      </c>
      <c r="Y23" s="17" t="s">
        <v>125</v>
      </c>
      <c r="Z23" s="17" t="s">
        <v>126</v>
      </c>
      <c r="AA23" s="17" t="s">
        <v>127</v>
      </c>
      <c r="AB23" s="31"/>
      <c r="AC23" s="14" t="s">
        <v>115</v>
      </c>
      <c r="AD23" s="14" t="s">
        <v>116</v>
      </c>
      <c r="AE23" s="15" t="s">
        <v>117</v>
      </c>
      <c r="AF23" s="16" t="s">
        <v>118</v>
      </c>
      <c r="AG23" s="17" t="s">
        <v>119</v>
      </c>
      <c r="AH23" s="17" t="s">
        <v>120</v>
      </c>
      <c r="AI23" s="17" t="s">
        <v>121</v>
      </c>
      <c r="AJ23" s="17" t="s">
        <v>122</v>
      </c>
      <c r="AK23" s="17" t="s">
        <v>123</v>
      </c>
      <c r="AL23" s="17" t="s">
        <v>124</v>
      </c>
      <c r="AM23" s="17" t="s">
        <v>125</v>
      </c>
      <c r="AN23" s="17" t="s">
        <v>126</v>
      </c>
      <c r="AO23" s="17" t="s">
        <v>127</v>
      </c>
    </row>
    <row r="24" s="11" customFormat="1" ht="16.5" spans="1:41">
      <c r="A24" s="19" t="s">
        <v>20</v>
      </c>
      <c r="B24" s="19">
        <f>VLOOKUP(A24,'[4]2026月度数据对比'!$A$23:$B$38,2,FALSE)</f>
        <v>3099</v>
      </c>
      <c r="C24" s="19">
        <f>VLOOKUP(A24,'[4]2026月度数据对比'!$A$23:$C$38,3,FALSE)</f>
        <v>1529</v>
      </c>
      <c r="D24" s="19">
        <v>1277</v>
      </c>
      <c r="E24" s="19">
        <v>731</v>
      </c>
      <c r="F24" s="19">
        <v>855</v>
      </c>
      <c r="G24" s="23"/>
      <c r="H24" s="23"/>
      <c r="I24" s="23"/>
      <c r="J24" s="23"/>
      <c r="K24" s="23"/>
      <c r="L24" s="23"/>
      <c r="M24" s="23"/>
      <c r="N24" s="11"/>
      <c r="O24" s="19" t="s">
        <v>20</v>
      </c>
      <c r="P24" s="19">
        <f>VLOOKUP(O24,'[4]2026月度数据对比'!$O$23:$P$38,2,FALSE)</f>
        <v>77</v>
      </c>
      <c r="Q24" s="19">
        <f>VLOOKUP(O24,'[4]2026月度数据对比'!$O$23:$Q$38,3,FALSE)</f>
        <v>22</v>
      </c>
      <c r="R24" s="19">
        <v>29</v>
      </c>
      <c r="S24" s="19">
        <v>22</v>
      </c>
      <c r="T24" s="19">
        <v>20</v>
      </c>
      <c r="U24" s="19"/>
      <c r="V24" s="19"/>
      <c r="W24" s="19"/>
      <c r="X24" s="19"/>
      <c r="Y24" s="19"/>
      <c r="Z24" s="19"/>
      <c r="AA24" s="19"/>
      <c r="AB24" s="32"/>
      <c r="AC24" s="19" t="s">
        <v>20</v>
      </c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="11" customFormat="1" ht="16.5" spans="1:41">
      <c r="A25" s="19" t="s">
        <v>21</v>
      </c>
      <c r="B25" s="19">
        <v>869</v>
      </c>
      <c r="C25" s="19">
        <v>495</v>
      </c>
      <c r="D25" s="19">
        <v>1446</v>
      </c>
      <c r="E25" s="19">
        <v>1054</v>
      </c>
      <c r="F25" s="19">
        <v>1095</v>
      </c>
      <c r="G25" s="23"/>
      <c r="H25" s="23"/>
      <c r="I25" s="23"/>
      <c r="J25" s="23"/>
      <c r="K25" s="23"/>
      <c r="L25" s="23"/>
      <c r="M25" s="23"/>
      <c r="O25" s="19" t="s">
        <v>21</v>
      </c>
      <c r="P25" s="19">
        <v>25</v>
      </c>
      <c r="Q25" s="19">
        <v>13</v>
      </c>
      <c r="R25" s="19">
        <v>26</v>
      </c>
      <c r="S25" s="19">
        <v>51</v>
      </c>
      <c r="T25" s="19">
        <v>31</v>
      </c>
      <c r="U25" s="19"/>
      <c r="V25" s="19"/>
      <c r="W25" s="19"/>
      <c r="X25" s="19"/>
      <c r="Y25" s="19"/>
      <c r="Z25" s="19"/>
      <c r="AA25" s="19"/>
      <c r="AB25" s="32"/>
      <c r="AC25" s="19" t="s">
        <v>21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="11" customFormat="1" ht="16.5" spans="1:41">
      <c r="A26" s="19" t="s">
        <v>22</v>
      </c>
      <c r="B26" s="19">
        <f>VLOOKUP(A26,'[4]2026月度数据对比'!$A$23:$B$38,2,FALSE)</f>
        <v>1160</v>
      </c>
      <c r="C26" s="19">
        <f>VLOOKUP(A26,'[4]2026月度数据对比'!$A$23:$C$38,3,FALSE)</f>
        <v>681</v>
      </c>
      <c r="D26" s="19">
        <v>902</v>
      </c>
      <c r="E26" s="19">
        <v>1112</v>
      </c>
      <c r="F26" s="19">
        <v>606</v>
      </c>
      <c r="G26" s="23"/>
      <c r="H26" s="23"/>
      <c r="I26" s="23"/>
      <c r="J26" s="23"/>
      <c r="K26" s="23"/>
      <c r="L26" s="23"/>
      <c r="M26" s="23"/>
      <c r="N26" s="11"/>
      <c r="O26" s="19" t="s">
        <v>22</v>
      </c>
      <c r="P26" s="19">
        <f>VLOOKUP(O26,'[4]2026月度数据对比'!$O$23:$P$38,2,FALSE)</f>
        <v>27</v>
      </c>
      <c r="Q26" s="19">
        <f>VLOOKUP(O26,'[4]2026月度数据对比'!$O$23:$Q$38,3,FALSE)</f>
        <v>21</v>
      </c>
      <c r="R26" s="19">
        <v>31</v>
      </c>
      <c r="S26" s="19">
        <v>60</v>
      </c>
      <c r="T26" s="19">
        <v>28</v>
      </c>
      <c r="U26" s="19"/>
      <c r="V26" s="19"/>
      <c r="W26" s="19"/>
      <c r="X26" s="19"/>
      <c r="Y26" s="19"/>
      <c r="Z26" s="19"/>
      <c r="AA26" s="19"/>
      <c r="AB26" s="32"/>
      <c r="AC26" s="19" t="s">
        <v>22</v>
      </c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="11" customFormat="1" ht="16.5" spans="1:41">
      <c r="A27" s="19" t="s">
        <v>23</v>
      </c>
      <c r="B27" s="19">
        <f>VLOOKUP(A27,'[4]2026月度数据对比'!$A$23:$B$38,2,FALSE)</f>
        <v>579</v>
      </c>
      <c r="C27" s="19">
        <f>VLOOKUP(A27,'[4]2026月度数据对比'!$A$23:$C$38,3,FALSE)</f>
        <v>302</v>
      </c>
      <c r="D27" s="19">
        <v>870</v>
      </c>
      <c r="E27" s="19">
        <v>557</v>
      </c>
      <c r="F27" s="19">
        <v>504</v>
      </c>
      <c r="G27" s="23"/>
      <c r="H27" s="23"/>
      <c r="I27" s="23"/>
      <c r="J27" s="23"/>
      <c r="K27" s="23"/>
      <c r="L27" s="23"/>
      <c r="M27" s="23"/>
      <c r="N27" s="11"/>
      <c r="O27" s="19" t="s">
        <v>23</v>
      </c>
      <c r="P27" s="19">
        <f>VLOOKUP(O27,'[4]2026月度数据对比'!$O$23:$P$38,2,FALSE)</f>
        <v>22</v>
      </c>
      <c r="Q27" s="19">
        <f>VLOOKUP(O27,'[4]2026月度数据对比'!$O$23:$Q$38,3,FALSE)</f>
        <v>8</v>
      </c>
      <c r="R27" s="19">
        <v>27</v>
      </c>
      <c r="S27" s="19">
        <v>12</v>
      </c>
      <c r="T27" s="19">
        <v>24</v>
      </c>
      <c r="U27" s="19"/>
      <c r="V27" s="19"/>
      <c r="W27" s="19"/>
      <c r="X27" s="19"/>
      <c r="Y27" s="19"/>
      <c r="Z27" s="19"/>
      <c r="AA27" s="19"/>
      <c r="AB27" s="32"/>
      <c r="AC27" s="19" t="s">
        <v>23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="11" customFormat="1" ht="16.5" spans="1:41">
      <c r="A28" s="19" t="s">
        <v>24</v>
      </c>
      <c r="B28" s="19">
        <f>VLOOKUP(A28,'[4]2026月度数据对比'!$A$23:$B$38,2,FALSE)</f>
        <v>68</v>
      </c>
      <c r="C28" s="19">
        <f>VLOOKUP(A28,'[4]2026月度数据对比'!$A$23:$C$38,3,FALSE)</f>
        <v>369</v>
      </c>
      <c r="D28" s="19">
        <v>345</v>
      </c>
      <c r="E28" s="19">
        <v>384</v>
      </c>
      <c r="F28" s="19">
        <v>347</v>
      </c>
      <c r="G28" s="23"/>
      <c r="H28" s="23"/>
      <c r="I28" s="23"/>
      <c r="J28" s="23"/>
      <c r="K28" s="23"/>
      <c r="L28" s="23"/>
      <c r="M28" s="23"/>
      <c r="N28" s="11"/>
      <c r="O28" s="19" t="s">
        <v>24</v>
      </c>
      <c r="P28" s="19">
        <f>VLOOKUP(O28,'[4]2026月度数据对比'!$O$23:$P$38,2,FALSE)</f>
        <v>10</v>
      </c>
      <c r="Q28" s="19">
        <f>VLOOKUP(O28,'[4]2026月度数据对比'!$O$23:$Q$38,3,FALSE)</f>
        <v>16</v>
      </c>
      <c r="R28" s="19">
        <v>18</v>
      </c>
      <c r="S28" s="19">
        <v>25</v>
      </c>
      <c r="T28" s="19">
        <v>27</v>
      </c>
      <c r="U28" s="19"/>
      <c r="V28" s="19"/>
      <c r="W28" s="19"/>
      <c r="X28" s="19"/>
      <c r="Y28" s="19"/>
      <c r="Z28" s="19"/>
      <c r="AA28" s="19"/>
      <c r="AB28" s="32"/>
      <c r="AC28" s="19" t="s">
        <v>24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="11" customFormat="1" ht="16.5" spans="1:41">
      <c r="A29" s="19" t="s">
        <v>25</v>
      </c>
      <c r="B29" s="19">
        <f>VLOOKUP(A29,'[4]2026月度数据对比'!$A$23:$B$38,2,FALSE)</f>
        <v>683</v>
      </c>
      <c r="C29" s="19">
        <f>VLOOKUP(A29,'[4]2026月度数据对比'!$A$23:$C$38,3,FALSE)</f>
        <v>765</v>
      </c>
      <c r="D29" s="19">
        <v>867</v>
      </c>
      <c r="E29" s="23">
        <v>593</v>
      </c>
      <c r="F29" s="23">
        <v>410</v>
      </c>
      <c r="G29" s="23"/>
      <c r="H29" s="23"/>
      <c r="I29" s="23"/>
      <c r="J29" s="23"/>
      <c r="K29" s="23"/>
      <c r="L29" s="23"/>
      <c r="M29" s="23"/>
      <c r="N29" s="11"/>
      <c r="O29" s="19" t="s">
        <v>25</v>
      </c>
      <c r="P29" s="19">
        <f>VLOOKUP(O29,'[4]2026月度数据对比'!$O$23:$P$38,2,FALSE)</f>
        <v>41</v>
      </c>
      <c r="Q29" s="19">
        <f>VLOOKUP(O29,'[4]2026月度数据对比'!$O$23:$Q$38,3,FALSE)</f>
        <v>29</v>
      </c>
      <c r="R29" s="19">
        <v>50</v>
      </c>
      <c r="S29" s="23">
        <v>28</v>
      </c>
      <c r="T29" s="23">
        <v>32</v>
      </c>
      <c r="U29" s="23"/>
      <c r="V29" s="23"/>
      <c r="W29" s="23"/>
      <c r="X29" s="23"/>
      <c r="Y29" s="23"/>
      <c r="Z29" s="23"/>
      <c r="AA29" s="23"/>
      <c r="AB29" s="33"/>
      <c r="AC29" s="19" t="s">
        <v>25</v>
      </c>
      <c r="AD29" s="28"/>
      <c r="AE29" s="29"/>
      <c r="AF29" s="29"/>
      <c r="AG29" s="29"/>
      <c r="AH29" s="29"/>
      <c r="AI29" s="29"/>
      <c r="AJ29" s="29"/>
      <c r="AK29" s="29"/>
      <c r="AL29" s="29"/>
      <c r="AM29" s="29"/>
      <c r="AN29" s="28"/>
      <c r="AO29" s="28"/>
    </row>
    <row r="30" s="11" customFormat="1" ht="16.5" spans="1:41">
      <c r="A30" s="19" t="s">
        <v>26</v>
      </c>
      <c r="B30" s="19">
        <f>VLOOKUP(A30,'[4]2026月度数据对比'!$A$23:$B$38,2,FALSE)</f>
        <v>502</v>
      </c>
      <c r="C30" s="19">
        <f>VLOOKUP(A30,'[4]2026月度数据对比'!$A$23:$C$38,3,FALSE)</f>
        <v>181</v>
      </c>
      <c r="D30" s="19">
        <v>394</v>
      </c>
      <c r="E30" s="23">
        <v>316</v>
      </c>
      <c r="F30" s="23">
        <v>261</v>
      </c>
      <c r="G30" s="23"/>
      <c r="H30" s="23"/>
      <c r="I30" s="23"/>
      <c r="J30" s="23"/>
      <c r="K30" s="23"/>
      <c r="L30" s="23"/>
      <c r="M30" s="23"/>
      <c r="N30" s="11"/>
      <c r="O30" s="19" t="s">
        <v>26</v>
      </c>
      <c r="P30" s="19">
        <f>VLOOKUP(O30,'[4]2026月度数据对比'!$O$23:$P$38,2,FALSE)</f>
        <v>76</v>
      </c>
      <c r="Q30" s="19">
        <f>VLOOKUP(O30,'[4]2026月度数据对比'!$O$23:$Q$38,3,FALSE)</f>
        <v>27</v>
      </c>
      <c r="R30" s="19">
        <v>52</v>
      </c>
      <c r="S30" s="23">
        <v>35</v>
      </c>
      <c r="T30" s="23">
        <v>41</v>
      </c>
      <c r="U30" s="23"/>
      <c r="V30" s="23"/>
      <c r="W30" s="23"/>
      <c r="X30" s="23"/>
      <c r="Y30" s="23"/>
      <c r="Z30" s="23"/>
      <c r="AA30" s="23"/>
      <c r="AB30" s="33"/>
      <c r="AC30" s="19" t="s">
        <v>26</v>
      </c>
      <c r="AD30" s="28"/>
      <c r="AE30" s="29"/>
      <c r="AF30" s="29"/>
      <c r="AG30" s="29"/>
      <c r="AH30" s="29"/>
      <c r="AI30" s="29"/>
      <c r="AJ30" s="29"/>
      <c r="AK30" s="29"/>
      <c r="AL30" s="29"/>
      <c r="AM30" s="29"/>
      <c r="AN30" s="28"/>
      <c r="AO30" s="28"/>
    </row>
    <row r="31" s="11" customFormat="1" ht="16.5" spans="1:41">
      <c r="A31" s="19" t="s">
        <v>27</v>
      </c>
      <c r="B31" s="19"/>
      <c r="C31" s="19"/>
      <c r="D31" s="19">
        <v>461</v>
      </c>
      <c r="E31" s="23">
        <v>497</v>
      </c>
      <c r="F31" s="23">
        <v>452</v>
      </c>
      <c r="G31" s="23"/>
      <c r="H31" s="23"/>
      <c r="I31" s="23"/>
      <c r="J31" s="23"/>
      <c r="K31" s="23"/>
      <c r="L31" s="23"/>
      <c r="M31" s="23"/>
      <c r="N31" s="11"/>
      <c r="O31" s="19" t="s">
        <v>27</v>
      </c>
      <c r="P31" s="19"/>
      <c r="Q31" s="19"/>
      <c r="R31" s="19">
        <v>41</v>
      </c>
      <c r="S31" s="23">
        <v>4</v>
      </c>
      <c r="T31" s="23">
        <v>25</v>
      </c>
      <c r="U31" s="23"/>
      <c r="V31" s="23"/>
      <c r="W31" s="23"/>
      <c r="X31" s="23"/>
      <c r="Y31" s="23"/>
      <c r="Z31" s="23"/>
      <c r="AA31" s="23"/>
      <c r="AB31" s="33"/>
      <c r="AC31" s="19" t="s">
        <v>27</v>
      </c>
      <c r="AD31" s="28"/>
      <c r="AE31" s="29"/>
      <c r="AF31" s="29"/>
      <c r="AG31" s="29"/>
      <c r="AH31" s="29"/>
      <c r="AI31" s="29"/>
      <c r="AJ31" s="29"/>
      <c r="AK31" s="29"/>
      <c r="AL31" s="29"/>
      <c r="AM31" s="29"/>
      <c r="AN31" s="28"/>
      <c r="AO31" s="28"/>
    </row>
    <row r="32" s="11" customFormat="1" ht="16.5" spans="1:41">
      <c r="A32" s="19" t="s">
        <v>28</v>
      </c>
      <c r="B32" s="19">
        <f>VLOOKUP(A32,'[4]2026月度数据对比'!$A$23:$B$38,2,FALSE)</f>
        <v>343</v>
      </c>
      <c r="C32" s="19">
        <f>VLOOKUP(A32,'[4]2026月度数据对比'!$A$23:$C$38,3,FALSE)</f>
        <v>351</v>
      </c>
      <c r="D32" s="19">
        <v>471</v>
      </c>
      <c r="E32" s="23">
        <v>324</v>
      </c>
      <c r="F32" s="23">
        <v>171</v>
      </c>
      <c r="G32" s="23"/>
      <c r="H32" s="23"/>
      <c r="I32" s="23"/>
      <c r="J32" s="23"/>
      <c r="K32" s="23"/>
      <c r="L32" s="23"/>
      <c r="M32" s="23"/>
      <c r="N32" s="11"/>
      <c r="O32" s="19" t="s">
        <v>28</v>
      </c>
      <c r="P32" s="19">
        <f>VLOOKUP(O32,'[4]2026月度数据对比'!$O$23:$P$38,2,FALSE)</f>
        <v>17</v>
      </c>
      <c r="Q32" s="19">
        <f>VLOOKUP(O32,'[4]2026月度数据对比'!$O$23:$Q$38,3,FALSE)</f>
        <v>9</v>
      </c>
      <c r="R32" s="19">
        <v>22</v>
      </c>
      <c r="S32" s="23">
        <v>2</v>
      </c>
      <c r="T32" s="23">
        <v>12</v>
      </c>
      <c r="U32" s="23"/>
      <c r="V32" s="23"/>
      <c r="W32" s="23"/>
      <c r="X32" s="23"/>
      <c r="Y32" s="23"/>
      <c r="Z32" s="23"/>
      <c r="AA32" s="23"/>
      <c r="AB32" s="33"/>
      <c r="AC32" s="19" t="s">
        <v>28</v>
      </c>
      <c r="AD32" s="28"/>
      <c r="AE32" s="29"/>
      <c r="AF32" s="29"/>
      <c r="AG32" s="29"/>
      <c r="AH32" s="29"/>
      <c r="AI32" s="29"/>
      <c r="AJ32" s="29"/>
      <c r="AK32" s="29"/>
      <c r="AL32" s="29"/>
      <c r="AM32" s="29"/>
      <c r="AN32" s="28"/>
      <c r="AO32" s="28"/>
    </row>
    <row r="33" s="11" customFormat="1" ht="16.5" spans="1:41">
      <c r="A33" s="19" t="s">
        <v>29</v>
      </c>
      <c r="B33" s="19">
        <f>VLOOKUP(A33,'[4]2026月度数据对比'!$A$23:$B$38,2,FALSE)</f>
        <v>467</v>
      </c>
      <c r="C33" s="19">
        <f>VLOOKUP(A33,'[4]2026月度数据对比'!$A$23:$C$38,3,FALSE)</f>
        <v>671</v>
      </c>
      <c r="D33" s="19">
        <v>1074</v>
      </c>
      <c r="E33" s="23">
        <v>840</v>
      </c>
      <c r="F33" s="23">
        <v>1195</v>
      </c>
      <c r="G33" s="23"/>
      <c r="H33" s="23"/>
      <c r="I33" s="23"/>
      <c r="J33" s="23"/>
      <c r="K33" s="23"/>
      <c r="L33" s="23"/>
      <c r="M33" s="23"/>
      <c r="N33" s="11"/>
      <c r="O33" s="19" t="s">
        <v>29</v>
      </c>
      <c r="P33" s="19">
        <f>VLOOKUP(O33,'[4]2026月度数据对比'!$O$23:$P$38,2,FALSE)</f>
        <v>99</v>
      </c>
      <c r="Q33" s="19">
        <f>VLOOKUP(O33,'[4]2026月度数据对比'!$O$23:$Q$38,3,FALSE)</f>
        <v>67</v>
      </c>
      <c r="R33" s="19">
        <v>91</v>
      </c>
      <c r="S33" s="23">
        <v>80</v>
      </c>
      <c r="T33" s="23">
        <v>65</v>
      </c>
      <c r="U33" s="23"/>
      <c r="V33" s="23"/>
      <c r="W33" s="23"/>
      <c r="X33" s="23"/>
      <c r="Y33" s="23"/>
      <c r="Z33" s="23"/>
      <c r="AA33" s="23"/>
      <c r="AB33" s="33"/>
      <c r="AC33" s="19" t="s">
        <v>29</v>
      </c>
      <c r="AD33" s="28"/>
      <c r="AE33" s="29"/>
      <c r="AF33" s="29"/>
      <c r="AG33" s="29"/>
      <c r="AH33" s="29"/>
      <c r="AI33" s="29"/>
      <c r="AJ33" s="29"/>
      <c r="AK33" s="29"/>
      <c r="AL33" s="29"/>
      <c r="AM33" s="29"/>
      <c r="AN33" s="28"/>
      <c r="AO33" s="28"/>
    </row>
    <row r="34" s="11" customFormat="1" ht="16.5" spans="1:41">
      <c r="A34" s="19" t="s">
        <v>30</v>
      </c>
      <c r="B34" s="19">
        <f>VLOOKUP(A34,'[4]2026月度数据对比'!$A$23:$B$38,2,FALSE)</f>
        <v>593</v>
      </c>
      <c r="C34" s="19">
        <f>VLOOKUP(A34,'[4]2026月度数据对比'!$A$23:$C$38,3,FALSE)</f>
        <v>461</v>
      </c>
      <c r="D34" s="19">
        <v>1200</v>
      </c>
      <c r="E34" s="23">
        <v>1337</v>
      </c>
      <c r="F34" s="23">
        <v>1485</v>
      </c>
      <c r="G34" s="23"/>
      <c r="H34" s="23"/>
      <c r="I34" s="23"/>
      <c r="J34" s="23"/>
      <c r="K34" s="23"/>
      <c r="L34" s="23"/>
      <c r="M34" s="23"/>
      <c r="N34" s="11"/>
      <c r="O34" s="19" t="s">
        <v>30</v>
      </c>
      <c r="P34" s="19">
        <f>VLOOKUP(O34,'[4]2026月度数据对比'!$O$23:$P$38,2,FALSE)</f>
        <v>54</v>
      </c>
      <c r="Q34" s="19">
        <f>VLOOKUP(O34,'[4]2026月度数据对比'!$O$23:$Q$38,3,FALSE)</f>
        <v>47</v>
      </c>
      <c r="R34" s="19">
        <v>92</v>
      </c>
      <c r="S34" s="23">
        <v>74</v>
      </c>
      <c r="T34" s="23">
        <v>69</v>
      </c>
      <c r="U34" s="23"/>
      <c r="V34" s="23"/>
      <c r="W34" s="23"/>
      <c r="X34" s="23"/>
      <c r="Y34" s="23"/>
      <c r="Z34" s="23"/>
      <c r="AA34" s="23"/>
      <c r="AB34" s="33"/>
      <c r="AC34" s="19" t="s">
        <v>30</v>
      </c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</row>
    <row r="35" ht="16.5" spans="1:41">
      <c r="A35" s="19" t="s">
        <v>31</v>
      </c>
      <c r="B35" s="19">
        <f>VLOOKUP(A35,'[4]2026月度数据对比'!$A$23:$B$38,2,FALSE)</f>
        <v>319</v>
      </c>
      <c r="C35" s="19">
        <f>VLOOKUP(A35,'[4]2026月度数据对比'!$A$23:$C$38,3,FALSE)</f>
        <v>282</v>
      </c>
      <c r="D35" s="19">
        <v>338</v>
      </c>
      <c r="E35" s="23">
        <v>365</v>
      </c>
      <c r="F35" s="23">
        <v>408</v>
      </c>
      <c r="G35" s="23"/>
      <c r="H35" s="23"/>
      <c r="I35" s="23"/>
      <c r="J35" s="23"/>
      <c r="K35" s="23"/>
      <c r="L35" s="23"/>
      <c r="M35" s="23"/>
      <c r="O35" s="19" t="s">
        <v>31</v>
      </c>
      <c r="P35" s="19">
        <f>VLOOKUP(O35,'[4]2026月度数据对比'!$O$23:$P$38,2,FALSE)</f>
        <v>54</v>
      </c>
      <c r="Q35" s="19">
        <f>VLOOKUP(O35,'[4]2026月度数据对比'!$O$23:$Q$38,3,FALSE)</f>
        <v>11</v>
      </c>
      <c r="R35" s="19">
        <v>39</v>
      </c>
      <c r="S35" s="23">
        <v>22</v>
      </c>
      <c r="T35" s="23">
        <v>23</v>
      </c>
      <c r="U35" s="23"/>
      <c r="V35" s="23"/>
      <c r="W35" s="23"/>
      <c r="X35" s="27"/>
      <c r="Y35" s="27"/>
      <c r="Z35" s="27"/>
      <c r="AA35" s="27"/>
      <c r="AC35" s="19" t="s">
        <v>31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</row>
    <row r="36" customFormat="1" ht="16.5" spans="1:41">
      <c r="A36" s="19" t="s">
        <v>32</v>
      </c>
      <c r="B36" s="19">
        <f>VLOOKUP(A36,'[4]2026月度数据对比'!$A$23:$B$38,2,FALSE)</f>
        <v>539</v>
      </c>
      <c r="C36" s="19">
        <f>VLOOKUP(A36,'[4]2026月度数据对比'!$A$23:$C$38,3,FALSE)</f>
        <v>525</v>
      </c>
      <c r="D36" s="19">
        <v>331</v>
      </c>
      <c r="E36" s="23">
        <v>719</v>
      </c>
      <c r="F36" s="23">
        <v>323</v>
      </c>
      <c r="G36" s="23"/>
      <c r="H36" s="23"/>
      <c r="I36" s="23"/>
      <c r="J36" s="23"/>
      <c r="K36" s="23"/>
      <c r="L36" s="23"/>
      <c r="M36" s="23"/>
      <c r="N36" s="11"/>
      <c r="O36" s="19" t="s">
        <v>32</v>
      </c>
      <c r="P36" s="19">
        <f>VLOOKUP(O36,'[4]2026月度数据对比'!$O$23:$P$38,2,FALSE)</f>
        <v>1</v>
      </c>
      <c r="Q36" s="19">
        <f>VLOOKUP(O36,'[4]2026月度数据对比'!$O$23:$Q$38,3,FALSE)</f>
        <v>4</v>
      </c>
      <c r="R36" s="19">
        <v>11</v>
      </c>
      <c r="S36" s="23">
        <v>23</v>
      </c>
      <c r="T36" s="23">
        <v>15</v>
      </c>
      <c r="U36" s="23"/>
      <c r="V36" s="23"/>
      <c r="W36" s="23"/>
      <c r="X36" s="27"/>
      <c r="Y36" s="27"/>
      <c r="Z36" s="27"/>
      <c r="AA36" s="27"/>
      <c r="AB36" s="11"/>
      <c r="AC36" s="19" t="s">
        <v>32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5"/>
      <c r="AO36" s="35"/>
    </row>
    <row r="37" customFormat="1" ht="16.5" spans="1:41">
      <c r="A37" s="19" t="s">
        <v>33</v>
      </c>
      <c r="B37" s="19">
        <f>VLOOKUP(A37,'[4]2026月度数据对比'!$A$23:$B$38,2,FALSE)</f>
        <v>260</v>
      </c>
      <c r="C37" s="19">
        <f>VLOOKUP(A37,'[4]2026月度数据对比'!$A$23:$C$38,3,FALSE)</f>
        <v>212</v>
      </c>
      <c r="D37" s="19">
        <v>225</v>
      </c>
      <c r="E37" s="23">
        <v>220</v>
      </c>
      <c r="F37" s="23">
        <v>257</v>
      </c>
      <c r="G37" s="23"/>
      <c r="H37" s="23"/>
      <c r="I37" s="23"/>
      <c r="J37" s="23"/>
      <c r="K37" s="23"/>
      <c r="L37" s="23"/>
      <c r="M37" s="23"/>
      <c r="N37" s="11"/>
      <c r="O37" s="19" t="s">
        <v>33</v>
      </c>
      <c r="P37" s="19">
        <f>VLOOKUP(O37,'[4]2026月度数据对比'!$O$23:$P$38,2,FALSE)</f>
        <v>22</v>
      </c>
      <c r="Q37" s="19">
        <f>VLOOKUP(O37,'[4]2026月度数据对比'!$O$23:$Q$38,3,FALSE)</f>
        <v>6</v>
      </c>
      <c r="R37" s="19">
        <v>11</v>
      </c>
      <c r="S37" s="23">
        <v>20</v>
      </c>
      <c r="T37" s="23">
        <v>13</v>
      </c>
      <c r="U37" s="23"/>
      <c r="V37" s="23"/>
      <c r="W37" s="23"/>
      <c r="X37" s="27"/>
      <c r="Y37" s="27"/>
      <c r="Z37" s="27"/>
      <c r="AA37" s="27"/>
      <c r="AB37" s="11"/>
      <c r="AC37" s="19" t="s">
        <v>33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5"/>
      <c r="AO37" s="35"/>
    </row>
    <row r="38" customFormat="1" ht="16.5" spans="1:41">
      <c r="A38" s="19" t="s">
        <v>34</v>
      </c>
      <c r="B38" s="19">
        <f>VLOOKUP(A38,'[4]2026月度数据对比'!$A$23:$B$38,2,FALSE)</f>
        <v>19</v>
      </c>
      <c r="C38" s="19">
        <f>VLOOKUP(A38,'[4]2026月度数据对比'!$A$23:$C$38,3,FALSE)</f>
        <v>2</v>
      </c>
      <c r="D38" s="19">
        <v>22</v>
      </c>
      <c r="E38" s="23">
        <v>74</v>
      </c>
      <c r="F38" s="23">
        <v>52</v>
      </c>
      <c r="G38" s="23"/>
      <c r="H38" s="23"/>
      <c r="I38" s="23"/>
      <c r="J38" s="23"/>
      <c r="K38" s="23"/>
      <c r="L38" s="23"/>
      <c r="M38" s="23"/>
      <c r="N38" s="11"/>
      <c r="O38" s="19" t="s">
        <v>34</v>
      </c>
      <c r="P38" s="19">
        <f>VLOOKUP(O38,'[4]2026月度数据对比'!$O$23:$P$38,2,FALSE)</f>
        <v>7</v>
      </c>
      <c r="Q38" s="19">
        <f>VLOOKUP(O38,'[4]2026月度数据对比'!$O$23:$Q$38,3,FALSE)</f>
        <v>1</v>
      </c>
      <c r="R38" s="19">
        <v>3</v>
      </c>
      <c r="S38" s="23">
        <v>15</v>
      </c>
      <c r="T38" s="23">
        <v>8</v>
      </c>
      <c r="U38" s="23"/>
      <c r="V38" s="23"/>
      <c r="W38" s="23"/>
      <c r="X38" s="27"/>
      <c r="Y38" s="27"/>
      <c r="Z38" s="27"/>
      <c r="AA38" s="27"/>
      <c r="AB38" s="11"/>
      <c r="AC38" s="19" t="s">
        <v>34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5"/>
      <c r="AO38" s="35"/>
    </row>
    <row r="39" customFormat="1" ht="16.5" spans="1:41">
      <c r="A39" s="19" t="s">
        <v>35</v>
      </c>
      <c r="B39" s="19">
        <f>VLOOKUP(A39,'[4]2026月度数据对比'!$A$23:$B$38,2,FALSE)</f>
        <v>550</v>
      </c>
      <c r="C39" s="19">
        <f>VLOOKUP(A39,'[4]2026月度数据对比'!$A$23:$C$38,3,FALSE)</f>
        <v>285</v>
      </c>
      <c r="D39" s="19">
        <v>393</v>
      </c>
      <c r="E39" s="23">
        <v>941</v>
      </c>
      <c r="F39" s="23">
        <v>269</v>
      </c>
      <c r="G39" s="23"/>
      <c r="H39" s="23"/>
      <c r="I39" s="23"/>
      <c r="J39" s="23"/>
      <c r="K39" s="23"/>
      <c r="L39" s="23"/>
      <c r="M39" s="23"/>
      <c r="N39" s="11"/>
      <c r="O39" s="19" t="s">
        <v>35</v>
      </c>
      <c r="P39" s="19">
        <f>VLOOKUP(O39,'[4]2026月度数据对比'!$O$23:$P$38,2,FALSE)</f>
        <v>0</v>
      </c>
      <c r="Q39" s="19">
        <f>VLOOKUP(O39,'[4]2026月度数据对比'!$O$23:$Q$38,3,FALSE)</f>
        <v>3</v>
      </c>
      <c r="R39" s="19">
        <v>8</v>
      </c>
      <c r="S39" s="23">
        <v>24</v>
      </c>
      <c r="T39" s="23">
        <v>15</v>
      </c>
      <c r="U39" s="23"/>
      <c r="V39" s="23"/>
      <c r="W39" s="23"/>
      <c r="X39" s="27"/>
      <c r="Y39" s="27"/>
      <c r="Z39" s="27"/>
      <c r="AA39" s="27"/>
      <c r="AB39" s="11"/>
      <c r="AC39" s="19" t="s">
        <v>35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5"/>
      <c r="AO39" s="35"/>
    </row>
    <row r="40" customFormat="1" ht="16.5" spans="1:41">
      <c r="A40" s="19" t="s">
        <v>36</v>
      </c>
      <c r="B40" s="19">
        <f>VLOOKUP(A40,'[4]2026月度数据对比'!$A$23:$B$38,2,FALSE)</f>
        <v>188</v>
      </c>
      <c r="C40" s="19">
        <f>VLOOKUP(A40,'[4]2026月度数据对比'!$A$23:$C$38,3,FALSE)</f>
        <v>84</v>
      </c>
      <c r="D40" s="19">
        <v>282</v>
      </c>
      <c r="E40" s="23">
        <v>398</v>
      </c>
      <c r="F40" s="23">
        <v>212</v>
      </c>
      <c r="G40" s="23"/>
      <c r="H40" s="23"/>
      <c r="I40" s="23"/>
      <c r="J40" s="23"/>
      <c r="K40" s="23"/>
      <c r="L40" s="23"/>
      <c r="M40" s="23"/>
      <c r="N40" s="11"/>
      <c r="O40" s="19" t="s">
        <v>36</v>
      </c>
      <c r="P40" s="19">
        <f>VLOOKUP(O40,'[4]2026月度数据对比'!$O$23:$P$38,2,FALSE)</f>
        <v>2</v>
      </c>
      <c r="Q40" s="19">
        <f>VLOOKUP(O40,'[4]2026月度数据对比'!$O$23:$Q$38,3,FALSE)</f>
        <v>6</v>
      </c>
      <c r="R40" s="19">
        <v>21</v>
      </c>
      <c r="S40" s="23">
        <v>18</v>
      </c>
      <c r="T40" s="23">
        <v>9</v>
      </c>
      <c r="U40" s="23"/>
      <c r="V40" s="23"/>
      <c r="W40" s="23"/>
      <c r="X40" s="27"/>
      <c r="Y40" s="27"/>
      <c r="Z40" s="27"/>
      <c r="AA40" s="27"/>
      <c r="AB40" s="11"/>
      <c r="AC40" s="19" t="s">
        <v>36</v>
      </c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36"/>
      <c r="AO40" s="36"/>
    </row>
    <row r="41" customFormat="1" ht="16.5" spans="1:41">
      <c r="A41" s="19" t="s">
        <v>37</v>
      </c>
      <c r="B41" s="19"/>
      <c r="C41" s="19"/>
      <c r="D41" s="19"/>
      <c r="E41" s="23"/>
      <c r="F41" s="23">
        <v>39</v>
      </c>
      <c r="G41" s="23"/>
      <c r="H41" s="23"/>
      <c r="I41" s="23"/>
      <c r="J41" s="23"/>
      <c r="K41" s="23"/>
      <c r="L41" s="23"/>
      <c r="M41" s="23"/>
      <c r="N41" s="11"/>
      <c r="O41" s="19" t="s">
        <v>37</v>
      </c>
      <c r="P41" s="19"/>
      <c r="Q41" s="19"/>
      <c r="R41" s="19"/>
      <c r="S41" s="23"/>
      <c r="T41" s="23">
        <v>1</v>
      </c>
      <c r="U41" s="23"/>
      <c r="V41" s="23"/>
      <c r="W41" s="23"/>
      <c r="X41" s="23"/>
      <c r="Y41" s="23"/>
      <c r="Z41" s="23"/>
      <c r="AA41" s="27"/>
      <c r="AB41" s="11"/>
      <c r="AC41" s="19" t="s">
        <v>37</v>
      </c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36"/>
      <c r="AO41" s="36"/>
    </row>
    <row r="42" customFormat="1" spans="1:4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 s="11" customFormat="1" ht="25" spans="1:41">
      <c r="A43" s="12" t="s">
        <v>93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="11" customFormat="1" ht="16.5" spans="1:41">
      <c r="A44" s="14" t="s">
        <v>115</v>
      </c>
      <c r="B44" s="14" t="s">
        <v>116</v>
      </c>
      <c r="C44" s="15" t="s">
        <v>117</v>
      </c>
      <c r="D44" s="16" t="s">
        <v>118</v>
      </c>
      <c r="E44" s="17" t="s">
        <v>119</v>
      </c>
      <c r="F44" s="17" t="s">
        <v>120</v>
      </c>
      <c r="G44" s="17" t="s">
        <v>121</v>
      </c>
      <c r="H44" s="17" t="s">
        <v>122</v>
      </c>
      <c r="I44" s="17" t="s">
        <v>123</v>
      </c>
      <c r="J44" s="17" t="s">
        <v>124</v>
      </c>
      <c r="K44" s="17" t="s">
        <v>125</v>
      </c>
      <c r="L44" s="17" t="s">
        <v>126</v>
      </c>
      <c r="M44" s="17" t="s">
        <v>127</v>
      </c>
      <c r="N44" s="37"/>
      <c r="O44" s="14" t="s">
        <v>115</v>
      </c>
      <c r="P44" s="14" t="s">
        <v>116</v>
      </c>
      <c r="Q44" s="15" t="s">
        <v>117</v>
      </c>
      <c r="R44" s="16" t="s">
        <v>118</v>
      </c>
      <c r="S44" s="17" t="s">
        <v>119</v>
      </c>
      <c r="T44" s="17" t="s">
        <v>120</v>
      </c>
      <c r="U44" s="17" t="s">
        <v>121</v>
      </c>
      <c r="V44" s="17" t="s">
        <v>122</v>
      </c>
      <c r="W44" s="17" t="s">
        <v>123</v>
      </c>
      <c r="X44" s="17" t="s">
        <v>124</v>
      </c>
      <c r="Y44" s="17" t="s">
        <v>125</v>
      </c>
      <c r="Z44" s="17" t="s">
        <v>126</v>
      </c>
      <c r="AA44" s="17" t="s">
        <v>127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s="11" customFormat="1" ht="21" spans="1:41">
      <c r="A45" s="19" t="s">
        <v>20</v>
      </c>
      <c r="B45" s="19">
        <f>VLOOKUP(A45,'[4]2026月度数据对比'!$A$44:$B$59,2,FALSE)</f>
        <v>2708</v>
      </c>
      <c r="C45" s="19">
        <f>VLOOKUP(A45,'[4]2026月度数据对比'!$A$44:$C$59,3,FALSE)</f>
        <v>1842</v>
      </c>
      <c r="D45" s="19">
        <v>991</v>
      </c>
      <c r="E45" s="19">
        <v>474</v>
      </c>
      <c r="F45" s="23">
        <v>590</v>
      </c>
      <c r="G45" s="23"/>
      <c r="H45" s="23"/>
      <c r="I45" s="23"/>
      <c r="J45" s="23"/>
      <c r="K45" s="23"/>
      <c r="L45" s="23"/>
      <c r="M45" s="23"/>
      <c r="N45" s="38"/>
      <c r="O45" s="19" t="s">
        <v>20</v>
      </c>
      <c r="P45" s="3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19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</row>
    <row r="46" s="11" customFormat="1" ht="21" spans="1:41">
      <c r="A46" s="19" t="s">
        <v>21</v>
      </c>
      <c r="B46" s="19">
        <v>838</v>
      </c>
      <c r="C46" s="19">
        <v>451</v>
      </c>
      <c r="D46" s="19">
        <v>1341</v>
      </c>
      <c r="E46" s="19">
        <v>1751</v>
      </c>
      <c r="F46" s="23">
        <v>1070</v>
      </c>
      <c r="G46" s="23"/>
      <c r="H46" s="23"/>
      <c r="I46" s="23"/>
      <c r="J46" s="23"/>
      <c r="K46" s="23"/>
      <c r="L46" s="23"/>
      <c r="M46" s="23"/>
      <c r="N46" s="38"/>
      <c r="O46" s="19" t="s">
        <v>21</v>
      </c>
      <c r="P46" s="3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19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</row>
    <row r="47" s="11" customFormat="1" ht="21" spans="1:41">
      <c r="A47" s="19" t="s">
        <v>22</v>
      </c>
      <c r="B47" s="19">
        <f>VLOOKUP(A47,'[4]2026月度数据对比'!$A$44:$B$59,2,FALSE)</f>
        <v>1021</v>
      </c>
      <c r="C47" s="19">
        <f>VLOOKUP(A47,'[4]2026月度数据对比'!$A$44:$C$59,3,FALSE)</f>
        <v>608</v>
      </c>
      <c r="D47" s="19">
        <v>979</v>
      </c>
      <c r="E47" s="19">
        <v>1087</v>
      </c>
      <c r="F47" s="23">
        <v>560</v>
      </c>
      <c r="G47" s="23"/>
      <c r="H47" s="23"/>
      <c r="I47" s="23"/>
      <c r="J47" s="23"/>
      <c r="K47" s="23"/>
      <c r="L47" s="23"/>
      <c r="M47" s="23"/>
      <c r="N47" s="38"/>
      <c r="O47" s="19" t="s">
        <v>22</v>
      </c>
      <c r="P47" s="3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19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</row>
    <row r="48" s="11" customFormat="1" ht="21" spans="1:41">
      <c r="A48" s="19" t="s">
        <v>23</v>
      </c>
      <c r="B48" s="19">
        <f>VLOOKUP(A48,'[4]2026月度数据对比'!$A$44:$B$59,2,FALSE)</f>
        <v>490</v>
      </c>
      <c r="C48" s="19">
        <f>VLOOKUP(A48,'[4]2026月度数据对比'!$A$44:$C$59,3,FALSE)</f>
        <v>101</v>
      </c>
      <c r="D48" s="19">
        <v>623</v>
      </c>
      <c r="E48" s="19">
        <v>456</v>
      </c>
      <c r="F48" s="23">
        <v>418</v>
      </c>
      <c r="G48" s="23"/>
      <c r="H48" s="23"/>
      <c r="I48" s="23"/>
      <c r="J48" s="23"/>
      <c r="K48" s="23"/>
      <c r="L48" s="23"/>
      <c r="M48" s="23"/>
      <c r="N48" s="38"/>
      <c r="O48" s="19" t="s">
        <v>23</v>
      </c>
      <c r="P48" s="3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19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</row>
    <row r="49" s="11" customFormat="1" ht="21" spans="1:39">
      <c r="A49" s="19" t="s">
        <v>24</v>
      </c>
      <c r="B49" s="19">
        <f>VLOOKUP(A49,'[4]2026月度数据对比'!$A$44:$B$59,2,FALSE)</f>
        <v>29</v>
      </c>
      <c r="C49" s="19">
        <f>VLOOKUP(A49,'[4]2026月度数据对比'!$A$44:$C$59,3,FALSE)</f>
        <v>353</v>
      </c>
      <c r="D49" s="19">
        <v>321</v>
      </c>
      <c r="E49" s="19">
        <v>364</v>
      </c>
      <c r="F49" s="23">
        <v>331</v>
      </c>
      <c r="G49" s="23"/>
      <c r="H49" s="23"/>
      <c r="I49" s="23"/>
      <c r="J49" s="23"/>
      <c r="K49" s="23"/>
      <c r="L49" s="23"/>
      <c r="M49" s="23"/>
      <c r="N49" s="38"/>
      <c r="O49" s="19" t="s">
        <v>24</v>
      </c>
      <c r="P49" s="3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19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</row>
    <row r="50" s="11" customFormat="1" ht="21" spans="1:39">
      <c r="A50" s="19" t="s">
        <v>25</v>
      </c>
      <c r="B50" s="19">
        <f>VLOOKUP(A50,'[4]2026月度数据对比'!$A$44:$B$59,2,FALSE)</f>
        <v>0</v>
      </c>
      <c r="C50" s="19">
        <f>VLOOKUP(A50,'[4]2026月度数据对比'!$A$44:$C$59,3,FALSE)</f>
        <v>0</v>
      </c>
      <c r="D50" s="19">
        <v>270</v>
      </c>
      <c r="E50" s="23">
        <v>45</v>
      </c>
      <c r="F50" s="23">
        <v>293</v>
      </c>
      <c r="G50" s="23"/>
      <c r="H50" s="23"/>
      <c r="I50" s="23"/>
      <c r="J50" s="23"/>
      <c r="K50" s="23"/>
      <c r="L50" s="23"/>
      <c r="M50" s="23"/>
      <c r="N50" s="38"/>
      <c r="O50" s="19" t="s">
        <v>25</v>
      </c>
      <c r="P50" s="41"/>
      <c r="Q50" s="28"/>
      <c r="R50" s="28"/>
      <c r="S50" s="28"/>
      <c r="T50" s="28"/>
      <c r="U50" s="28"/>
      <c r="V50" s="28"/>
      <c r="W50" s="28"/>
      <c r="X50" s="29"/>
      <c r="Y50" s="29"/>
      <c r="Z50" s="28"/>
      <c r="AA50" s="23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</row>
    <row r="51" s="11" customFormat="1" ht="21" spans="1:39">
      <c r="A51" s="19" t="s">
        <v>26</v>
      </c>
      <c r="B51" s="19">
        <f>VLOOKUP(A51,'[4]2026月度数据对比'!$A$44:$B$59,2,FALSE)</f>
        <v>416</v>
      </c>
      <c r="C51" s="19">
        <f>VLOOKUP(A51,'[4]2026月度数据对比'!$A$44:$C$59,3,FALSE)</f>
        <v>136</v>
      </c>
      <c r="D51" s="19">
        <v>313</v>
      </c>
      <c r="E51" s="23">
        <v>258</v>
      </c>
      <c r="F51" s="23">
        <v>168</v>
      </c>
      <c r="G51" s="23"/>
      <c r="H51" s="23"/>
      <c r="I51" s="23"/>
      <c r="J51" s="23"/>
      <c r="K51" s="23"/>
      <c r="L51" s="23"/>
      <c r="M51" s="23"/>
      <c r="N51" s="38"/>
      <c r="O51" s="19" t="s">
        <v>26</v>
      </c>
      <c r="P51" s="41"/>
      <c r="Q51" s="28"/>
      <c r="R51" s="28"/>
      <c r="S51" s="28"/>
      <c r="T51" s="28"/>
      <c r="U51" s="28"/>
      <c r="V51" s="28"/>
      <c r="W51" s="28"/>
      <c r="X51" s="29"/>
      <c r="Y51" s="29"/>
      <c r="Z51" s="28"/>
      <c r="AA51" s="23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</row>
    <row r="52" s="11" customFormat="1" ht="21" spans="1:39">
      <c r="A52" s="19" t="s">
        <v>27</v>
      </c>
      <c r="B52" s="19"/>
      <c r="C52" s="19"/>
      <c r="D52" s="19">
        <v>188</v>
      </c>
      <c r="E52" s="23">
        <v>379</v>
      </c>
      <c r="F52" s="23">
        <v>448</v>
      </c>
      <c r="G52" s="23"/>
      <c r="H52" s="23"/>
      <c r="I52" s="23"/>
      <c r="J52" s="23"/>
      <c r="K52" s="23"/>
      <c r="L52" s="23"/>
      <c r="M52" s="23"/>
      <c r="N52" s="38"/>
      <c r="O52" s="19" t="s">
        <v>27</v>
      </c>
      <c r="P52" s="41"/>
      <c r="Q52" s="28"/>
      <c r="R52" s="28"/>
      <c r="S52" s="28"/>
      <c r="T52" s="28"/>
      <c r="U52" s="28"/>
      <c r="V52" s="28"/>
      <c r="W52" s="28"/>
      <c r="X52" s="29"/>
      <c r="Y52" s="29"/>
      <c r="Z52" s="28"/>
      <c r="AA52" s="23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</row>
    <row r="53" s="11" customFormat="1" ht="21" spans="1:39">
      <c r="A53" s="19" t="s">
        <v>28</v>
      </c>
      <c r="B53" s="19">
        <f>VLOOKUP(A53,'[4]2026月度数据对比'!$A$44:$B$59,2,FALSE)</f>
        <v>178</v>
      </c>
      <c r="C53" s="19">
        <f>VLOOKUP(A53,'[4]2026月度数据对比'!$A$44:$C$59,3,FALSE)</f>
        <v>1348</v>
      </c>
      <c r="D53" s="19">
        <v>346</v>
      </c>
      <c r="E53" s="23">
        <v>217</v>
      </c>
      <c r="F53" s="23">
        <v>88</v>
      </c>
      <c r="G53" s="23"/>
      <c r="H53" s="23"/>
      <c r="I53" s="23"/>
      <c r="J53" s="23"/>
      <c r="K53" s="23"/>
      <c r="L53" s="23"/>
      <c r="M53" s="23"/>
      <c r="N53" s="38"/>
      <c r="O53" s="19" t="s">
        <v>28</v>
      </c>
      <c r="P53" s="41"/>
      <c r="Q53" s="28"/>
      <c r="R53" s="28"/>
      <c r="S53" s="28"/>
      <c r="T53" s="28"/>
      <c r="U53" s="28"/>
      <c r="V53" s="28"/>
      <c r="W53" s="28"/>
      <c r="X53" s="29"/>
      <c r="Y53" s="29"/>
      <c r="Z53" s="28"/>
      <c r="AA53" s="23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</row>
    <row r="54" s="11" customFormat="1" ht="16.5" spans="1:39">
      <c r="A54" s="19" t="s">
        <v>29</v>
      </c>
      <c r="B54" s="19">
        <f>VLOOKUP(A54,'[4]2026月度数据对比'!$A$44:$B$59,2,FALSE)</f>
        <v>406</v>
      </c>
      <c r="C54" s="19">
        <f>VLOOKUP(A54,'[4]2026月度数据对比'!$A$44:$C$59,3,FALSE)</f>
        <v>634</v>
      </c>
      <c r="D54" s="19">
        <v>1005</v>
      </c>
      <c r="E54" s="23">
        <v>779</v>
      </c>
      <c r="F54" s="23">
        <v>1099</v>
      </c>
      <c r="G54" s="23"/>
      <c r="H54" s="23"/>
      <c r="I54" s="23"/>
      <c r="J54" s="23"/>
      <c r="K54" s="23"/>
      <c r="L54" s="23"/>
      <c r="M54" s="23"/>
      <c r="N54" s="11"/>
      <c r="O54" s="19" t="s">
        <v>29</v>
      </c>
      <c r="P54" s="41"/>
      <c r="Q54" s="28"/>
      <c r="R54" s="28"/>
      <c r="S54" s="28"/>
      <c r="T54" s="28"/>
      <c r="U54" s="28"/>
      <c r="V54" s="28"/>
      <c r="W54" s="28"/>
      <c r="X54" s="29"/>
      <c r="Y54" s="29"/>
      <c r="Z54" s="28"/>
      <c r="AA54" s="23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</row>
    <row r="55" s="11" customFormat="1" ht="16.5" spans="1:39">
      <c r="A55" s="19" t="s">
        <v>30</v>
      </c>
      <c r="B55" s="19">
        <f>VLOOKUP(A55,'[4]2026月度数据对比'!$A$44:$B$59,2,FALSE)</f>
        <v>537</v>
      </c>
      <c r="C55" s="19">
        <f>VLOOKUP(A55,'[4]2026月度数据对比'!$A$44:$C$59,3,FALSE)</f>
        <v>337</v>
      </c>
      <c r="D55" s="19">
        <v>946</v>
      </c>
      <c r="E55" s="23">
        <v>954</v>
      </c>
      <c r="F55" s="23">
        <v>1309</v>
      </c>
      <c r="G55" s="23"/>
      <c r="H55" s="23"/>
      <c r="I55" s="23"/>
      <c r="J55" s="23"/>
      <c r="K55" s="23"/>
      <c r="L55" s="23"/>
      <c r="M55" s="23"/>
      <c r="N55" s="11"/>
      <c r="O55" s="19" t="s">
        <v>30</v>
      </c>
      <c r="P55" s="41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3"/>
    </row>
    <row r="56" ht="16.5" spans="1:39">
      <c r="A56" s="19" t="s">
        <v>31</v>
      </c>
      <c r="B56" s="19">
        <f>VLOOKUP(A56,'[4]2026月度数据对比'!$A$44:$B$59,2,FALSE)</f>
        <v>269</v>
      </c>
      <c r="C56" s="19">
        <f>VLOOKUP(A56,'[4]2026月度数据对比'!$A$44:$C$59,3,FALSE)</f>
        <v>247</v>
      </c>
      <c r="D56" s="19">
        <v>245</v>
      </c>
      <c r="E56" s="23">
        <v>626</v>
      </c>
      <c r="F56" s="23">
        <v>260</v>
      </c>
      <c r="G56" s="23"/>
      <c r="H56" s="23"/>
      <c r="I56" s="23"/>
      <c r="J56" s="23"/>
      <c r="K56" s="23"/>
      <c r="L56" s="23"/>
      <c r="M56" s="23"/>
      <c r="O56" s="19" t="s">
        <v>31</v>
      </c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6.5" spans="1:39">
      <c r="A57" s="19" t="s">
        <v>32</v>
      </c>
      <c r="B57" s="19">
        <f>VLOOKUP(A57,'[4]2026月度数据对比'!$A$44:$B$59,2,FALSE)</f>
        <v>511</v>
      </c>
      <c r="C57" s="19">
        <f>VLOOKUP(A57,'[4]2026月度数据对比'!$A$44:$C$59,3,FALSE)</f>
        <v>505</v>
      </c>
      <c r="D57" s="19">
        <v>318</v>
      </c>
      <c r="E57" s="23">
        <v>713</v>
      </c>
      <c r="F57" s="23">
        <v>312</v>
      </c>
      <c r="G57" s="23"/>
      <c r="H57" s="23"/>
      <c r="I57" s="23"/>
      <c r="J57" s="23"/>
      <c r="K57" s="23"/>
      <c r="L57" s="23"/>
      <c r="M57" s="23"/>
      <c r="O57" s="19" t="s">
        <v>32</v>
      </c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6.5" spans="1:39">
      <c r="A58" s="19" t="s">
        <v>33</v>
      </c>
      <c r="B58" s="19">
        <f>VLOOKUP(A58,'[4]2026月度数据对比'!$A$44:$B$59,2,FALSE)</f>
        <v>233</v>
      </c>
      <c r="C58" s="19">
        <f>VLOOKUP(A58,'[4]2026月度数据对比'!$A$44:$C$59,3,FALSE)</f>
        <v>186</v>
      </c>
      <c r="D58" s="19">
        <v>205</v>
      </c>
      <c r="E58" s="23">
        <v>265</v>
      </c>
      <c r="F58" s="23">
        <v>155</v>
      </c>
      <c r="G58" s="23"/>
      <c r="H58" s="23"/>
      <c r="I58" s="23"/>
      <c r="J58" s="23"/>
      <c r="K58" s="23"/>
      <c r="L58" s="23"/>
      <c r="M58" s="23"/>
      <c r="O58" s="19" t="s">
        <v>33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6.5" spans="1:39">
      <c r="A59" s="19" t="s">
        <v>34</v>
      </c>
      <c r="B59" s="19">
        <f>VLOOKUP(A59,'[4]2026月度数据对比'!$A$44:$B$59,2,FALSE)</f>
        <v>0</v>
      </c>
      <c r="C59" s="19">
        <f>VLOOKUP(A59,'[4]2026月度数据对比'!$A$44:$C$59,3,FALSE)</f>
        <v>0</v>
      </c>
      <c r="D59" s="19">
        <v>0</v>
      </c>
      <c r="E59" s="23">
        <v>0</v>
      </c>
      <c r="F59" s="23">
        <v>0</v>
      </c>
      <c r="G59" s="23"/>
      <c r="H59" s="23"/>
      <c r="I59" s="23"/>
      <c r="J59" s="23"/>
      <c r="K59" s="23"/>
      <c r="L59" s="23"/>
      <c r="M59" s="23"/>
      <c r="O59" s="19" t="s">
        <v>34</v>
      </c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6.5" spans="1:39">
      <c r="A60" s="19" t="s">
        <v>35</v>
      </c>
      <c r="B60" s="19">
        <f>VLOOKUP(A60,'[4]2026月度数据对比'!$A$44:$B$59,2,FALSE)</f>
        <v>530</v>
      </c>
      <c r="C60" s="19">
        <f>VLOOKUP(A60,'[4]2026月度数据对比'!$A$44:$C$59,3,FALSE)</f>
        <v>251</v>
      </c>
      <c r="D60" s="19">
        <v>382</v>
      </c>
      <c r="E60" s="23">
        <v>919</v>
      </c>
      <c r="F60" s="23">
        <v>251</v>
      </c>
      <c r="G60" s="23"/>
      <c r="H60" s="23"/>
      <c r="I60" s="23"/>
      <c r="J60" s="23"/>
      <c r="K60" s="23"/>
      <c r="L60" s="23"/>
      <c r="M60" s="23"/>
      <c r="O60" s="19" t="s">
        <v>35</v>
      </c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6.5" spans="1:39">
      <c r="A61" s="19" t="s">
        <v>36</v>
      </c>
      <c r="B61" s="19">
        <f>VLOOKUP(A61,'[4]2026月度数据对比'!$A$44:$B$59,2,FALSE)</f>
        <v>166</v>
      </c>
      <c r="C61" s="19">
        <f>VLOOKUP(A61,'[4]2026月度数据对比'!$A$44:$C$59,3,FALSE)</f>
        <v>23</v>
      </c>
      <c r="D61" s="19">
        <v>267</v>
      </c>
      <c r="E61" s="23">
        <v>382</v>
      </c>
      <c r="F61" s="23">
        <v>193</v>
      </c>
      <c r="G61" s="23"/>
      <c r="H61" s="23"/>
      <c r="I61" s="23"/>
      <c r="J61" s="23"/>
      <c r="K61" s="23"/>
      <c r="L61" s="23"/>
      <c r="M61" s="23"/>
      <c r="O61" s="19" t="s">
        <v>36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6.5" spans="1:39">
      <c r="A62" s="19" t="s">
        <v>37</v>
      </c>
      <c r="B62" s="19"/>
      <c r="C62" s="19"/>
      <c r="D62" s="19"/>
      <c r="E62" s="23"/>
      <c r="F62" s="23">
        <v>4</v>
      </c>
      <c r="G62" s="23"/>
      <c r="H62" s="23"/>
      <c r="I62" s="23"/>
      <c r="J62" s="23"/>
      <c r="K62" s="23"/>
      <c r="L62" s="23"/>
      <c r="M62" s="23"/>
      <c r="O62" s="19" t="s">
        <v>37</v>
      </c>
      <c r="P62" s="19"/>
      <c r="Q62" s="19"/>
      <c r="R62" s="19"/>
      <c r="S62" s="23"/>
      <c r="T62" s="23"/>
      <c r="U62" s="23"/>
      <c r="V62" s="23"/>
      <c r="W62" s="23"/>
      <c r="X62" s="23"/>
      <c r="Y62" s="23"/>
      <c r="Z62" s="23"/>
      <c r="AA62" s="27"/>
    </row>
  </sheetData>
  <mergeCells count="7">
    <mergeCell ref="A1:J1"/>
    <mergeCell ref="O1:X1"/>
    <mergeCell ref="A22:M22"/>
    <mergeCell ref="O22:X22"/>
    <mergeCell ref="AC22:AL22"/>
    <mergeCell ref="A43:M43"/>
    <mergeCell ref="O43:X43"/>
  </mergeCells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O8" sqref="O8"/>
    </sheetView>
  </sheetViews>
  <sheetFormatPr defaultColWidth="8.25" defaultRowHeight="14"/>
  <cols>
    <col min="1" max="1" width="8.25" style="1"/>
    <col min="2" max="2" width="12.8333333333333" style="1" customWidth="1"/>
    <col min="3" max="3" width="8.25" style="1" hidden="1" customWidth="1"/>
    <col min="4" max="4" width="10.8333333333333" style="1" customWidth="1"/>
    <col min="5" max="9" width="8.25" style="1"/>
    <col min="10" max="11" width="8.41666666666667" style="1"/>
    <col min="12" max="12" width="10.5" style="1"/>
    <col min="13" max="13" width="10.5" style="1" customWidth="1"/>
    <col min="14" max="16384" width="8.25" style="1"/>
  </cols>
  <sheetData>
    <row r="1" s="1" customFormat="1" spans="1:13">
      <c r="A1" s="2" t="s">
        <v>1</v>
      </c>
      <c r="B1" s="2" t="s">
        <v>130</v>
      </c>
      <c r="C1" s="2" t="s">
        <v>131</v>
      </c>
      <c r="D1" s="2"/>
      <c r="E1" s="2" t="s">
        <v>116</v>
      </c>
      <c r="F1" s="2" t="s">
        <v>117</v>
      </c>
      <c r="G1" s="2" t="s">
        <v>118</v>
      </c>
      <c r="H1" s="2" t="s">
        <v>119</v>
      </c>
      <c r="I1" s="3" t="s">
        <v>120</v>
      </c>
      <c r="J1" s="3" t="s">
        <v>121</v>
      </c>
      <c r="K1" s="3">
        <v>46215</v>
      </c>
      <c r="L1" s="2" t="s">
        <v>38</v>
      </c>
      <c r="M1" s="1" t="s">
        <v>132</v>
      </c>
    </row>
    <row r="2" s="1" customFormat="1" spans="1:13">
      <c r="A2" s="4">
        <v>1</v>
      </c>
      <c r="B2" s="4" t="s">
        <v>20</v>
      </c>
      <c r="C2" s="4"/>
      <c r="D2" s="5" t="s">
        <v>56</v>
      </c>
      <c r="E2" s="5">
        <v>203</v>
      </c>
      <c r="F2" s="5">
        <v>148</v>
      </c>
      <c r="G2" s="5">
        <v>167</v>
      </c>
      <c r="H2" s="5">
        <v>102</v>
      </c>
      <c r="I2" s="5">
        <v>110</v>
      </c>
      <c r="J2" s="5">
        <v>88</v>
      </c>
      <c r="K2" s="5">
        <v>16</v>
      </c>
      <c r="L2" s="5">
        <f>SUM(E2:K2)</f>
        <v>834</v>
      </c>
      <c r="M2" s="1">
        <f>VLOOKUP(B2,'总表-数据收集'!B:F,5,FALSE)</f>
        <v>853</v>
      </c>
    </row>
    <row r="3" s="1" customFormat="1" spans="1:13">
      <c r="A3" s="6"/>
      <c r="B3" s="6"/>
      <c r="C3" s="6"/>
      <c r="D3" s="5" t="s">
        <v>133</v>
      </c>
      <c r="E3" s="5">
        <v>295</v>
      </c>
      <c r="F3" s="5">
        <v>367</v>
      </c>
      <c r="G3" s="5">
        <v>202</v>
      </c>
      <c r="H3" s="5">
        <v>98</v>
      </c>
      <c r="I3" s="5">
        <v>87</v>
      </c>
      <c r="J3" s="5">
        <v>126</v>
      </c>
      <c r="K3" s="5">
        <v>15</v>
      </c>
      <c r="L3" s="5">
        <f t="shared" ref="L3:L34" si="0">SUM(E3:K3)</f>
        <v>1190</v>
      </c>
      <c r="M3" s="1">
        <f>VLOOKUP(B2,'总表-数据收集'!B:G,6,FALSE)</f>
        <v>1213</v>
      </c>
    </row>
    <row r="4" s="1" customFormat="1" spans="1:13">
      <c r="A4" s="7"/>
      <c r="B4" s="7"/>
      <c r="C4" s="7"/>
      <c r="D4" s="5" t="s">
        <v>134</v>
      </c>
      <c r="E4" s="5">
        <v>112378</v>
      </c>
      <c r="F4" s="5">
        <v>76252.1</v>
      </c>
      <c r="G4" s="5">
        <v>42298</v>
      </c>
      <c r="H4" s="5">
        <v>19166.6</v>
      </c>
      <c r="I4" s="5">
        <v>24770.6</v>
      </c>
      <c r="J4" s="5">
        <v>27405</v>
      </c>
      <c r="K4" s="5">
        <v>6464.6</v>
      </c>
      <c r="L4" s="5">
        <f t="shared" si="0"/>
        <v>308734.9</v>
      </c>
      <c r="M4" s="1">
        <f>VLOOKUP(B2,'总表-数据收集'!B:E,4,FALSE)</f>
        <v>315734.02</v>
      </c>
    </row>
    <row r="5" s="1" customFormat="1" spans="1:13">
      <c r="A5" s="4">
        <v>2</v>
      </c>
      <c r="B5" s="4" t="s">
        <v>25</v>
      </c>
      <c r="C5" s="4"/>
      <c r="D5" s="5" t="s">
        <v>56</v>
      </c>
      <c r="E5" s="5">
        <v>65</v>
      </c>
      <c r="F5" s="5">
        <v>45</v>
      </c>
      <c r="G5" s="5">
        <v>96</v>
      </c>
      <c r="H5" s="5">
        <v>74</v>
      </c>
      <c r="I5" s="5">
        <v>82</v>
      </c>
      <c r="J5" s="5">
        <v>68</v>
      </c>
      <c r="K5" s="5">
        <v>8</v>
      </c>
      <c r="L5" s="5">
        <f t="shared" si="0"/>
        <v>438</v>
      </c>
      <c r="M5" s="1">
        <f>VLOOKUP(B5,'总表-数据收集'!B:F,5,FALSE)</f>
        <v>448</v>
      </c>
    </row>
    <row r="6" s="1" customFormat="1" spans="1:13">
      <c r="A6" s="6"/>
      <c r="B6" s="6"/>
      <c r="C6" s="6"/>
      <c r="D6" s="5" t="s">
        <v>133</v>
      </c>
      <c r="E6" s="5">
        <v>58</v>
      </c>
      <c r="F6" s="5">
        <v>58</v>
      </c>
      <c r="G6" s="5">
        <v>93</v>
      </c>
      <c r="H6" s="5">
        <v>80</v>
      </c>
      <c r="I6" s="5">
        <v>83</v>
      </c>
      <c r="J6" s="5">
        <v>72</v>
      </c>
      <c r="K6" s="5">
        <v>2</v>
      </c>
      <c r="L6" s="5">
        <f t="shared" si="0"/>
        <v>446</v>
      </c>
      <c r="M6" s="1">
        <f>VLOOKUP(B5,'总表-数据收集'!B:G,6,FALSE)</f>
        <v>452</v>
      </c>
    </row>
    <row r="7" s="1" customFormat="1" spans="1:13">
      <c r="A7" s="7"/>
      <c r="B7" s="7"/>
      <c r="C7" s="7"/>
      <c r="D7" s="5" t="s">
        <v>134</v>
      </c>
      <c r="E7" s="5">
        <v>0</v>
      </c>
      <c r="F7" s="5">
        <v>0</v>
      </c>
      <c r="G7" s="5">
        <v>15070.7</v>
      </c>
      <c r="H7" s="5">
        <v>4592</v>
      </c>
      <c r="I7" s="8">
        <v>15729</v>
      </c>
      <c r="J7" s="5">
        <v>11857</v>
      </c>
      <c r="K7" s="5">
        <v>2375</v>
      </c>
      <c r="L7" s="5">
        <f t="shared" si="0"/>
        <v>49623.7</v>
      </c>
      <c r="M7" s="1">
        <f>VLOOKUP(B5,'总表-数据收集'!B:E,4,FALSE)</f>
        <v>52194.65</v>
      </c>
    </row>
    <row r="8" s="1" customFormat="1" spans="1:13">
      <c r="A8" s="4">
        <v>3</v>
      </c>
      <c r="B8" s="4" t="s">
        <v>27</v>
      </c>
      <c r="C8" s="4"/>
      <c r="D8" s="5" t="s">
        <v>56</v>
      </c>
      <c r="E8" s="5"/>
      <c r="F8" s="5"/>
      <c r="G8" s="5">
        <v>56</v>
      </c>
      <c r="H8" s="5">
        <v>52</v>
      </c>
      <c r="I8" s="9">
        <v>54</v>
      </c>
      <c r="J8" s="9">
        <v>57</v>
      </c>
      <c r="K8" s="9">
        <v>8</v>
      </c>
      <c r="L8" s="5">
        <f t="shared" si="0"/>
        <v>227</v>
      </c>
      <c r="M8" s="1">
        <f>VLOOKUP(B8,'总表-数据收集'!B:F,5,FALSE)</f>
        <v>239</v>
      </c>
    </row>
    <row r="9" s="1" customFormat="1" spans="1:13">
      <c r="A9" s="6"/>
      <c r="B9" s="6"/>
      <c r="C9" s="6"/>
      <c r="D9" s="5" t="s">
        <v>133</v>
      </c>
      <c r="E9" s="5"/>
      <c r="F9" s="5"/>
      <c r="G9" s="5">
        <v>91</v>
      </c>
      <c r="H9" s="5">
        <v>64</v>
      </c>
      <c r="I9" s="9">
        <v>50</v>
      </c>
      <c r="J9" s="9">
        <v>80</v>
      </c>
      <c r="K9" s="9">
        <v>8</v>
      </c>
      <c r="L9" s="5">
        <f t="shared" si="0"/>
        <v>293</v>
      </c>
      <c r="M9" s="1">
        <f>VLOOKUP(B8,'总表-数据收集'!B:G,6,FALSE)</f>
        <v>302</v>
      </c>
    </row>
    <row r="10" s="1" customFormat="1" spans="1:13">
      <c r="A10" s="7"/>
      <c r="B10" s="7"/>
      <c r="C10" s="7"/>
      <c r="D10" s="5" t="s">
        <v>134</v>
      </c>
      <c r="E10" s="5"/>
      <c r="F10" s="5"/>
      <c r="G10" s="5">
        <v>6374.27</v>
      </c>
      <c r="H10" s="5">
        <v>17748.6</v>
      </c>
      <c r="I10" s="10">
        <v>19828.5</v>
      </c>
      <c r="J10" s="10">
        <v>15891.5</v>
      </c>
      <c r="K10" s="10">
        <v>1569.04</v>
      </c>
      <c r="L10" s="5">
        <f t="shared" si="0"/>
        <v>61411.91</v>
      </c>
      <c r="M10" s="1">
        <f>VLOOKUP(B8,'总表-数据收集'!B:E,4,FALSE)</f>
        <v>63746.71</v>
      </c>
    </row>
    <row r="11" s="1" customFormat="1" spans="1:13">
      <c r="A11" s="4">
        <v>4</v>
      </c>
      <c r="B11" s="4" t="s">
        <v>26</v>
      </c>
      <c r="C11" s="4"/>
      <c r="D11" s="5" t="s">
        <v>56</v>
      </c>
      <c r="E11" s="5">
        <v>76</v>
      </c>
      <c r="F11" s="5">
        <v>50</v>
      </c>
      <c r="G11" s="5">
        <v>70</v>
      </c>
      <c r="H11" s="5">
        <v>62</v>
      </c>
      <c r="I11" s="5">
        <v>68</v>
      </c>
      <c r="J11" s="5">
        <v>61</v>
      </c>
      <c r="K11" s="5">
        <v>3</v>
      </c>
      <c r="L11" s="5">
        <f t="shared" si="0"/>
        <v>390</v>
      </c>
      <c r="M11" s="1">
        <f>VLOOKUP(B11,'总表-数据收集'!B:F,5,FALSE)</f>
        <v>400</v>
      </c>
    </row>
    <row r="12" s="1" customFormat="1" spans="1:13">
      <c r="A12" s="6"/>
      <c r="B12" s="6"/>
      <c r="C12" s="6"/>
      <c r="D12" s="5" t="s">
        <v>133</v>
      </c>
      <c r="E12" s="5">
        <v>55</v>
      </c>
      <c r="F12" s="5">
        <v>30</v>
      </c>
      <c r="G12" s="5">
        <v>60</v>
      </c>
      <c r="H12" s="5">
        <v>60</v>
      </c>
      <c r="I12" s="5">
        <v>46</v>
      </c>
      <c r="J12" s="5">
        <v>48</v>
      </c>
      <c r="K12" s="5">
        <v>2</v>
      </c>
      <c r="L12" s="5">
        <f t="shared" si="0"/>
        <v>301</v>
      </c>
      <c r="M12" s="1">
        <f>VLOOKUP(B11,'总表-数据收集'!B:G,6,FALSE)</f>
        <v>306</v>
      </c>
    </row>
    <row r="13" s="1" customFormat="1" spans="1:13">
      <c r="A13" s="7"/>
      <c r="B13" s="7"/>
      <c r="C13" s="7"/>
      <c r="D13" s="5" t="s">
        <v>134</v>
      </c>
      <c r="E13" s="5">
        <v>15000</v>
      </c>
      <c r="F13" s="5">
        <v>7000</v>
      </c>
      <c r="G13" s="5">
        <v>11500</v>
      </c>
      <c r="H13" s="5">
        <v>9600</v>
      </c>
      <c r="I13" s="5">
        <v>14100</v>
      </c>
      <c r="J13" s="5">
        <v>11000</v>
      </c>
      <c r="K13" s="5">
        <v>0</v>
      </c>
      <c r="L13" s="5">
        <f t="shared" si="0"/>
        <v>68200</v>
      </c>
      <c r="M13" s="1">
        <f>VLOOKUP(B11,'总表-数据收集'!B:E,4,FALSE)</f>
        <v>71200</v>
      </c>
    </row>
    <row r="14" s="1" customFormat="1" spans="1:13">
      <c r="A14" s="4">
        <v>5</v>
      </c>
      <c r="B14" s="4" t="s">
        <v>21</v>
      </c>
      <c r="C14" s="4"/>
      <c r="D14" s="5" t="s">
        <v>56</v>
      </c>
      <c r="E14" s="5">
        <v>87</v>
      </c>
      <c r="F14" s="5">
        <v>88</v>
      </c>
      <c r="G14" s="5">
        <v>79</v>
      </c>
      <c r="H14" s="5">
        <v>93</v>
      </c>
      <c r="I14" s="5">
        <v>90</v>
      </c>
      <c r="J14" s="5">
        <v>92</v>
      </c>
      <c r="K14" s="5">
        <v>16</v>
      </c>
      <c r="L14" s="5">
        <f t="shared" si="0"/>
        <v>545</v>
      </c>
      <c r="M14" s="1">
        <f>VLOOKUP(B14,'总表-数据收集'!B:F,5,FALSE)</f>
        <v>563</v>
      </c>
    </row>
    <row r="15" s="1" customFormat="1" spans="1:13">
      <c r="A15" s="6"/>
      <c r="B15" s="6"/>
      <c r="C15" s="6"/>
      <c r="D15" s="5" t="s">
        <v>133</v>
      </c>
      <c r="E15" s="5">
        <v>103</v>
      </c>
      <c r="F15" s="5">
        <v>119</v>
      </c>
      <c r="G15" s="5">
        <v>131</v>
      </c>
      <c r="H15" s="5">
        <v>163</v>
      </c>
      <c r="I15" s="5">
        <v>129</v>
      </c>
      <c r="J15" s="5">
        <v>166</v>
      </c>
      <c r="K15" s="5">
        <v>16</v>
      </c>
      <c r="L15" s="5">
        <f t="shared" si="0"/>
        <v>827</v>
      </c>
      <c r="M15" s="1">
        <f>VLOOKUP(B14,'总表-数据收集'!B:G,6,FALSE)</f>
        <v>847</v>
      </c>
    </row>
    <row r="16" s="1" customFormat="1" spans="1:13">
      <c r="A16" s="7"/>
      <c r="B16" s="7"/>
      <c r="C16" s="7"/>
      <c r="D16" s="5" t="s">
        <v>134</v>
      </c>
      <c r="E16" s="5">
        <v>62531.3</v>
      </c>
      <c r="F16" s="5">
        <v>26762.4</v>
      </c>
      <c r="G16" s="5">
        <v>73590.7</v>
      </c>
      <c r="H16" s="5">
        <v>94677.8</v>
      </c>
      <c r="I16" s="5">
        <v>123493</v>
      </c>
      <c r="J16" s="5">
        <v>44628.5</v>
      </c>
      <c r="K16" s="5">
        <v>8116.84</v>
      </c>
      <c r="L16" s="5">
        <f t="shared" si="0"/>
        <v>433800.54</v>
      </c>
      <c r="M16" s="1">
        <f>VLOOKUP(B14,'总表-数据收集'!B:E,4,FALSE)</f>
        <v>448329.94</v>
      </c>
    </row>
    <row r="17" s="1" customFormat="1" spans="1:13">
      <c r="A17" s="4">
        <v>6</v>
      </c>
      <c r="B17" s="4" t="s">
        <v>22</v>
      </c>
      <c r="C17" s="4"/>
      <c r="D17" s="5" t="s">
        <v>56</v>
      </c>
      <c r="E17" s="5">
        <v>94</v>
      </c>
      <c r="F17" s="5">
        <v>97</v>
      </c>
      <c r="G17" s="5">
        <v>77</v>
      </c>
      <c r="H17" s="5">
        <v>97</v>
      </c>
      <c r="I17" s="5">
        <v>115</v>
      </c>
      <c r="J17" s="5">
        <v>107</v>
      </c>
      <c r="K17" s="5">
        <v>15</v>
      </c>
      <c r="L17" s="5">
        <f t="shared" si="0"/>
        <v>602</v>
      </c>
      <c r="M17" s="1">
        <f>VLOOKUP(B17,'总表-数据收集'!B:F,5,FALSE)</f>
        <v>625</v>
      </c>
    </row>
    <row r="18" s="1" customFormat="1" spans="1:13">
      <c r="A18" s="6"/>
      <c r="B18" s="6"/>
      <c r="C18" s="6"/>
      <c r="D18" s="5" t="s">
        <v>133</v>
      </c>
      <c r="E18" s="5">
        <v>172</v>
      </c>
      <c r="F18" s="5">
        <v>136</v>
      </c>
      <c r="G18" s="5">
        <v>218</v>
      </c>
      <c r="H18" s="5">
        <v>197</v>
      </c>
      <c r="I18" s="5">
        <v>165</v>
      </c>
      <c r="J18" s="5">
        <v>167</v>
      </c>
      <c r="K18" s="5">
        <v>17</v>
      </c>
      <c r="L18" s="5">
        <f t="shared" si="0"/>
        <v>1072</v>
      </c>
      <c r="M18" s="1">
        <f>VLOOKUP(B17,'总表-数据收集'!B:G,6,FALSE)</f>
        <v>1105</v>
      </c>
    </row>
    <row r="19" s="1" customFormat="1" spans="1:13">
      <c r="A19" s="7"/>
      <c r="B19" s="7"/>
      <c r="C19" s="7"/>
      <c r="D19" s="5" t="s">
        <v>134</v>
      </c>
      <c r="E19" s="5">
        <v>98074.3</v>
      </c>
      <c r="F19" s="5">
        <v>68187.3</v>
      </c>
      <c r="G19" s="5">
        <v>73233.3</v>
      </c>
      <c r="H19" s="5">
        <v>67492.1</v>
      </c>
      <c r="I19" s="5">
        <v>47990</v>
      </c>
      <c r="J19" s="5">
        <v>70332.1</v>
      </c>
      <c r="K19" s="5">
        <v>11922.4</v>
      </c>
      <c r="L19" s="5">
        <f t="shared" si="0"/>
        <v>437231.5</v>
      </c>
      <c r="M19" s="1">
        <f>VLOOKUP(B17,'总表-数据收集'!B:E,4,FALSE)</f>
        <v>455885.08</v>
      </c>
    </row>
    <row r="20" s="1" customFormat="1" spans="1:13">
      <c r="A20" s="4">
        <v>7</v>
      </c>
      <c r="B20" s="4" t="s">
        <v>31</v>
      </c>
      <c r="C20" s="4"/>
      <c r="D20" s="5" t="s">
        <v>56</v>
      </c>
      <c r="E20" s="5">
        <v>74</v>
      </c>
      <c r="F20" s="5">
        <v>56</v>
      </c>
      <c r="G20" s="5">
        <v>66</v>
      </c>
      <c r="H20" s="5">
        <v>111</v>
      </c>
      <c r="I20" s="5">
        <v>89</v>
      </c>
      <c r="J20" s="5">
        <v>71</v>
      </c>
      <c r="K20" s="5">
        <v>12</v>
      </c>
      <c r="L20" s="5">
        <f t="shared" si="0"/>
        <v>479</v>
      </c>
      <c r="M20" s="1">
        <f>VLOOKUP(B20,'总表-数据收集'!B:F,5,FALSE)</f>
        <v>494</v>
      </c>
    </row>
    <row r="21" s="1" customFormat="1" spans="1:13">
      <c r="A21" s="6"/>
      <c r="B21" s="6"/>
      <c r="C21" s="6"/>
      <c r="D21" s="5" t="s">
        <v>133</v>
      </c>
      <c r="E21" s="5">
        <v>59</v>
      </c>
      <c r="F21" s="5">
        <v>54</v>
      </c>
      <c r="G21" s="5">
        <v>110</v>
      </c>
      <c r="H21" s="5">
        <v>136</v>
      </c>
      <c r="I21" s="5">
        <v>118</v>
      </c>
      <c r="J21" s="5">
        <v>187</v>
      </c>
      <c r="K21" s="5">
        <v>24</v>
      </c>
      <c r="L21" s="5">
        <f t="shared" si="0"/>
        <v>688</v>
      </c>
      <c r="M21" s="1">
        <f>VLOOKUP(B20,'总表-数据收集'!B:G,6,FALSE)</f>
        <v>707</v>
      </c>
    </row>
    <row r="22" s="1" customFormat="1" spans="1:13">
      <c r="A22" s="7"/>
      <c r="B22" s="7"/>
      <c r="C22" s="7"/>
      <c r="D22" s="5" t="s">
        <v>134</v>
      </c>
      <c r="E22" s="5">
        <v>60542.3</v>
      </c>
      <c r="F22" s="5">
        <v>38282.4</v>
      </c>
      <c r="G22" s="5">
        <v>35182</v>
      </c>
      <c r="H22" s="5">
        <v>84894.7</v>
      </c>
      <c r="I22" s="5">
        <v>39428.6</v>
      </c>
      <c r="J22" s="8">
        <v>39519</v>
      </c>
      <c r="K22" s="8">
        <v>8215.49</v>
      </c>
      <c r="L22" s="5">
        <f t="shared" si="0"/>
        <v>306064.49</v>
      </c>
      <c r="M22" s="1">
        <f>VLOOKUP(B20,'总表-数据收集'!B:E,4,FALSE)</f>
        <v>309917.65</v>
      </c>
    </row>
    <row r="23" s="1" customFormat="1" spans="1:13">
      <c r="A23" s="4">
        <v>8</v>
      </c>
      <c r="B23" s="4" t="s">
        <v>33</v>
      </c>
      <c r="C23" s="4"/>
      <c r="D23" s="5" t="s">
        <v>56</v>
      </c>
      <c r="E23" s="5">
        <v>76</v>
      </c>
      <c r="F23" s="5">
        <v>61</v>
      </c>
      <c r="G23" s="5">
        <v>63</v>
      </c>
      <c r="H23" s="5">
        <v>69</v>
      </c>
      <c r="I23" s="5">
        <v>57</v>
      </c>
      <c r="J23" s="5">
        <v>84</v>
      </c>
      <c r="K23" s="5">
        <v>15</v>
      </c>
      <c r="L23" s="5">
        <f t="shared" si="0"/>
        <v>425</v>
      </c>
      <c r="M23" s="1">
        <f>VLOOKUP(B23,'总表-数据收集'!B:F,5,FALSE)</f>
        <v>446</v>
      </c>
    </row>
    <row r="24" s="1" customFormat="1" spans="1:13">
      <c r="A24" s="6"/>
      <c r="B24" s="6"/>
      <c r="C24" s="6"/>
      <c r="D24" s="5" t="s">
        <v>133</v>
      </c>
      <c r="E24" s="5">
        <v>72</v>
      </c>
      <c r="F24" s="5">
        <v>83</v>
      </c>
      <c r="G24" s="5">
        <v>91</v>
      </c>
      <c r="H24" s="5">
        <v>103</v>
      </c>
      <c r="I24" s="5">
        <v>147</v>
      </c>
      <c r="J24" s="5">
        <v>160</v>
      </c>
      <c r="K24" s="5">
        <v>37</v>
      </c>
      <c r="L24" s="5">
        <f t="shared" si="0"/>
        <v>693</v>
      </c>
      <c r="M24" s="1">
        <f>VLOOKUP(B23,'总表-数据收集'!B:G,6,FALSE)</f>
        <v>711</v>
      </c>
    </row>
    <row r="25" s="1" customFormat="1" spans="1:13">
      <c r="A25" s="7"/>
      <c r="B25" s="7"/>
      <c r="C25" s="7"/>
      <c r="D25" s="5" t="s">
        <v>134</v>
      </c>
      <c r="E25" s="5">
        <v>35855</v>
      </c>
      <c r="F25" s="5">
        <v>19537.4</v>
      </c>
      <c r="G25" s="5">
        <v>21355.8</v>
      </c>
      <c r="H25" s="5">
        <v>26237</v>
      </c>
      <c r="I25" s="5">
        <v>20394.5</v>
      </c>
      <c r="J25" s="8">
        <v>30102.39</v>
      </c>
      <c r="K25" s="8">
        <v>2088.36</v>
      </c>
      <c r="L25" s="5">
        <f t="shared" si="0"/>
        <v>155570.45</v>
      </c>
      <c r="M25" s="1">
        <f>VLOOKUP(B23,'总表-数据收集'!B:E,4,FALSE)</f>
        <v>159684.42</v>
      </c>
    </row>
    <row r="26" s="1" customFormat="1" spans="1:13">
      <c r="A26" s="4">
        <v>9</v>
      </c>
      <c r="B26" s="4" t="s">
        <v>34</v>
      </c>
      <c r="C26" s="4"/>
      <c r="D26" s="5" t="s">
        <v>56</v>
      </c>
      <c r="E26" s="5">
        <v>92</v>
      </c>
      <c r="F26" s="5">
        <v>42</v>
      </c>
      <c r="G26" s="5">
        <v>50</v>
      </c>
      <c r="H26" s="5">
        <v>73</v>
      </c>
      <c r="I26" s="5">
        <v>67</v>
      </c>
      <c r="J26" s="5">
        <v>53</v>
      </c>
      <c r="K26" s="5">
        <v>0</v>
      </c>
      <c r="L26" s="5">
        <f t="shared" si="0"/>
        <v>377</v>
      </c>
      <c r="M26" s="1">
        <f>VLOOKUP(B26,'总表-数据收集'!B:F,5,FALSE)</f>
        <v>377</v>
      </c>
    </row>
    <row r="27" s="1" customFormat="1" spans="1:13">
      <c r="A27" s="6"/>
      <c r="B27" s="6"/>
      <c r="C27" s="6"/>
      <c r="D27" s="5" t="s">
        <v>133</v>
      </c>
      <c r="E27" s="5">
        <v>75</v>
      </c>
      <c r="F27" s="5">
        <v>30</v>
      </c>
      <c r="G27" s="5">
        <v>81</v>
      </c>
      <c r="H27" s="5">
        <v>84</v>
      </c>
      <c r="I27" s="5">
        <v>99</v>
      </c>
      <c r="J27" s="5">
        <v>66</v>
      </c>
      <c r="K27" s="5">
        <v>0</v>
      </c>
      <c r="L27" s="5">
        <f t="shared" si="0"/>
        <v>435</v>
      </c>
      <c r="M27" s="1">
        <f>VLOOKUP(B26,'总表-数据收集'!B:G,6,FALSE)</f>
        <v>435</v>
      </c>
    </row>
    <row r="28" s="1" customFormat="1" spans="1:13">
      <c r="A28" s="7"/>
      <c r="B28" s="7"/>
      <c r="C28" s="7"/>
      <c r="D28" s="5" t="s">
        <v>134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f t="shared" si="0"/>
        <v>0</v>
      </c>
      <c r="M28" s="1">
        <f>VLOOKUP(B26,'总表-数据收集'!B:E,4,FALSE)</f>
        <v>0</v>
      </c>
    </row>
    <row r="29" s="1" customFormat="1" spans="1:13">
      <c r="A29" s="4">
        <v>10</v>
      </c>
      <c r="B29" s="4" t="s">
        <v>29</v>
      </c>
      <c r="C29" s="4"/>
      <c r="D29" s="5" t="s">
        <v>56</v>
      </c>
      <c r="E29" s="5">
        <v>70</v>
      </c>
      <c r="F29" s="5">
        <v>61</v>
      </c>
      <c r="G29" s="5">
        <v>83</v>
      </c>
      <c r="H29" s="5">
        <v>75</v>
      </c>
      <c r="I29" s="5">
        <v>66</v>
      </c>
      <c r="J29" s="5">
        <v>71</v>
      </c>
      <c r="K29" s="5">
        <v>8</v>
      </c>
      <c r="L29" s="5">
        <f t="shared" si="0"/>
        <v>434</v>
      </c>
      <c r="M29" s="1">
        <f>VLOOKUP(B29,'总表-数据收集'!B:F,5,FALSE)</f>
        <v>462</v>
      </c>
    </row>
    <row r="30" s="1" customFormat="1" spans="1:13">
      <c r="A30" s="6"/>
      <c r="B30" s="6"/>
      <c r="C30" s="6"/>
      <c r="D30" s="5" t="s">
        <v>133</v>
      </c>
      <c r="E30" s="5">
        <v>66</v>
      </c>
      <c r="F30" s="5">
        <v>52</v>
      </c>
      <c r="G30" s="5">
        <v>91</v>
      </c>
      <c r="H30" s="5">
        <v>84</v>
      </c>
      <c r="I30" s="5">
        <v>91</v>
      </c>
      <c r="J30" s="5">
        <v>151</v>
      </c>
      <c r="K30" s="5">
        <v>27</v>
      </c>
      <c r="L30" s="5">
        <f t="shared" si="0"/>
        <v>562</v>
      </c>
      <c r="M30" s="1">
        <f>VLOOKUP(B29,'总表-数据收集'!B:G,6,FALSE)</f>
        <v>600</v>
      </c>
    </row>
    <row r="31" s="1" customFormat="1" spans="1:13">
      <c r="A31" s="7"/>
      <c r="B31" s="7"/>
      <c r="C31" s="7"/>
      <c r="D31" s="5" t="s">
        <v>134</v>
      </c>
      <c r="E31" s="5">
        <v>56953.3</v>
      </c>
      <c r="F31" s="5">
        <v>57651.5</v>
      </c>
      <c r="G31" s="5">
        <v>91765.9</v>
      </c>
      <c r="H31" s="5">
        <v>64921.5</v>
      </c>
      <c r="I31" s="5">
        <v>119690</v>
      </c>
      <c r="J31" s="8">
        <v>96724.34</v>
      </c>
      <c r="K31" s="8">
        <v>11086</v>
      </c>
      <c r="L31" s="5">
        <f t="shared" si="0"/>
        <v>498792.54</v>
      </c>
      <c r="M31" s="1">
        <f>VLOOKUP(B29,'总表-数据收集'!B:E,4,FALSE)</f>
        <v>525273.67</v>
      </c>
    </row>
    <row r="32" s="1" customFormat="1" spans="1:13">
      <c r="A32" s="4">
        <v>11</v>
      </c>
      <c r="B32" s="4" t="s">
        <v>30</v>
      </c>
      <c r="C32" s="4"/>
      <c r="D32" s="5" t="s">
        <v>56</v>
      </c>
      <c r="E32" s="5">
        <v>60</v>
      </c>
      <c r="F32" s="5">
        <v>58</v>
      </c>
      <c r="G32" s="5">
        <v>89</v>
      </c>
      <c r="H32" s="5">
        <v>120</v>
      </c>
      <c r="I32" s="5">
        <v>111</v>
      </c>
      <c r="J32" s="5">
        <v>116</v>
      </c>
      <c r="K32" s="5">
        <v>24</v>
      </c>
      <c r="L32" s="5">
        <f t="shared" si="0"/>
        <v>578</v>
      </c>
      <c r="M32" s="1">
        <f>VLOOKUP(B32,'总表-数据收集'!B:F,5,FALSE)</f>
        <v>606</v>
      </c>
    </row>
    <row r="33" s="1" customFormat="1" spans="1:13">
      <c r="A33" s="6"/>
      <c r="B33" s="6"/>
      <c r="C33" s="6"/>
      <c r="D33" s="5" t="s">
        <v>133</v>
      </c>
      <c r="E33" s="5">
        <v>80</v>
      </c>
      <c r="F33" s="5">
        <v>88</v>
      </c>
      <c r="G33" s="5">
        <v>99</v>
      </c>
      <c r="H33" s="5">
        <v>119</v>
      </c>
      <c r="I33" s="5">
        <v>116</v>
      </c>
      <c r="J33" s="5">
        <v>106</v>
      </c>
      <c r="K33" s="5">
        <v>36</v>
      </c>
      <c r="L33" s="5">
        <f t="shared" si="0"/>
        <v>644</v>
      </c>
      <c r="M33" s="1">
        <f>VLOOKUP(B32,'总表-数据收集'!B:G,6,FALSE)</f>
        <v>668</v>
      </c>
    </row>
    <row r="34" s="1" customFormat="1" spans="1:13">
      <c r="A34" s="7"/>
      <c r="B34" s="7"/>
      <c r="C34" s="7"/>
      <c r="D34" s="5" t="s">
        <v>134</v>
      </c>
      <c r="E34" s="5">
        <v>69574</v>
      </c>
      <c r="F34" s="5">
        <v>30054.8</v>
      </c>
      <c r="G34" s="5">
        <v>70478</v>
      </c>
      <c r="H34" s="5">
        <v>59715</v>
      </c>
      <c r="I34" s="5">
        <v>112219</v>
      </c>
      <c r="J34" s="8">
        <v>100023</v>
      </c>
      <c r="K34" s="8">
        <v>20651</v>
      </c>
      <c r="L34" s="5">
        <f t="shared" si="0"/>
        <v>462714.8</v>
      </c>
      <c r="M34" s="1">
        <f>VLOOKUP(B32,'总表-数据收集'!B:E,4,FALSE)</f>
        <v>482368.8</v>
      </c>
    </row>
    <row r="35" s="1" customFormat="1" spans="1:13">
      <c r="A35" s="4">
        <v>12</v>
      </c>
      <c r="B35" s="4" t="s">
        <v>106</v>
      </c>
      <c r="C35" s="4"/>
      <c r="D35" s="5" t="s">
        <v>56</v>
      </c>
      <c r="E35" s="5">
        <v>46</v>
      </c>
      <c r="F35" s="5">
        <v>48</v>
      </c>
      <c r="G35" s="5">
        <v>60</v>
      </c>
      <c r="H35" s="5">
        <v>54</v>
      </c>
      <c r="I35" s="5">
        <v>97</v>
      </c>
      <c r="J35" s="5">
        <v>80</v>
      </c>
      <c r="K35" s="5">
        <v>15</v>
      </c>
      <c r="L35" s="5">
        <f t="shared" ref="L35:L55" si="1">SUM(E35:K35)</f>
        <v>400</v>
      </c>
      <c r="M35" s="1">
        <f>VLOOKUP(B35,'总表-数据收集'!B:F,5,FALSE)</f>
        <v>416</v>
      </c>
    </row>
    <row r="36" s="1" customFormat="1" spans="1:13">
      <c r="A36" s="6"/>
      <c r="B36" s="6"/>
      <c r="C36" s="6"/>
      <c r="D36" s="5" t="s">
        <v>133</v>
      </c>
      <c r="E36" s="5">
        <v>121</v>
      </c>
      <c r="F36" s="5">
        <v>156</v>
      </c>
      <c r="G36" s="5">
        <v>241</v>
      </c>
      <c r="H36" s="5">
        <v>83</v>
      </c>
      <c r="I36" s="5">
        <v>121</v>
      </c>
      <c r="J36" s="5">
        <v>116</v>
      </c>
      <c r="K36" s="5">
        <v>35</v>
      </c>
      <c r="L36" s="5">
        <f t="shared" si="1"/>
        <v>873</v>
      </c>
      <c r="M36" s="1">
        <f>VLOOKUP(B35,'总表-数据收集'!B:G,6,FALSE)</f>
        <v>903</v>
      </c>
    </row>
    <row r="37" s="1" customFormat="1" spans="1:13">
      <c r="A37" s="7"/>
      <c r="B37" s="7"/>
      <c r="C37" s="7"/>
      <c r="D37" s="5" t="s">
        <v>134</v>
      </c>
      <c r="E37" s="5">
        <v>28439.9</v>
      </c>
      <c r="F37" s="5">
        <v>20466.9</v>
      </c>
      <c r="G37" s="5">
        <v>28648.6</v>
      </c>
      <c r="H37" s="5">
        <v>31163.2</v>
      </c>
      <c r="I37" s="5">
        <v>37819</v>
      </c>
      <c r="J37" s="5">
        <v>40000</v>
      </c>
      <c r="K37" s="5">
        <v>8958.09</v>
      </c>
      <c r="L37" s="5">
        <f t="shared" si="1"/>
        <v>195495.69</v>
      </c>
      <c r="M37" s="1">
        <f>VLOOKUP(B35,'总表-数据收集'!B:E,4,FALSE)</f>
        <v>208218.29</v>
      </c>
    </row>
    <row r="38" s="1" customFormat="1" spans="1:13">
      <c r="A38" s="4">
        <v>13</v>
      </c>
      <c r="B38" s="4" t="s">
        <v>107</v>
      </c>
      <c r="C38" s="4"/>
      <c r="D38" s="5" t="s">
        <v>56</v>
      </c>
      <c r="E38" s="5">
        <v>46</v>
      </c>
      <c r="F38" s="5">
        <v>36</v>
      </c>
      <c r="G38" s="5">
        <v>52</v>
      </c>
      <c r="H38" s="5">
        <v>73</v>
      </c>
      <c r="I38" s="5">
        <v>73</v>
      </c>
      <c r="J38" s="5">
        <v>64</v>
      </c>
      <c r="K38" s="5">
        <v>15</v>
      </c>
      <c r="L38" s="5">
        <f t="shared" si="1"/>
        <v>359</v>
      </c>
      <c r="M38" s="1">
        <f>VLOOKUP(B38,'总表-数据收集'!B:F,5,FALSE)</f>
        <v>376</v>
      </c>
    </row>
    <row r="39" s="1" customFormat="1" spans="1:13">
      <c r="A39" s="6"/>
      <c r="B39" s="6"/>
      <c r="C39" s="6"/>
      <c r="D39" s="5" t="s">
        <v>133</v>
      </c>
      <c r="E39" s="5">
        <v>74</v>
      </c>
      <c r="F39" s="5">
        <v>95</v>
      </c>
      <c r="G39" s="5">
        <v>146</v>
      </c>
      <c r="H39" s="5">
        <v>162</v>
      </c>
      <c r="I39" s="5">
        <v>143</v>
      </c>
      <c r="J39" s="5">
        <v>132</v>
      </c>
      <c r="K39" s="5">
        <v>20</v>
      </c>
      <c r="L39" s="5">
        <f t="shared" si="1"/>
        <v>772</v>
      </c>
      <c r="M39" s="1">
        <f>VLOOKUP(B38,'总表-数据收集'!B:G,6,FALSE)</f>
        <v>807</v>
      </c>
    </row>
    <row r="40" s="1" customFormat="1" spans="1:13">
      <c r="A40" s="7"/>
      <c r="B40" s="7"/>
      <c r="C40" s="7"/>
      <c r="D40" s="5" t="s">
        <v>134</v>
      </c>
      <c r="E40" s="5">
        <v>42290.1</v>
      </c>
      <c r="F40" s="5">
        <v>7603.6</v>
      </c>
      <c r="G40" s="5">
        <v>38033.2</v>
      </c>
      <c r="H40" s="5">
        <v>40025.9</v>
      </c>
      <c r="I40" s="5">
        <v>26141.3</v>
      </c>
      <c r="J40" s="5">
        <v>27359.5</v>
      </c>
      <c r="K40" s="5">
        <v>1033.02</v>
      </c>
      <c r="L40" s="5">
        <f t="shared" si="1"/>
        <v>182486.62</v>
      </c>
      <c r="M40" s="1">
        <f>VLOOKUP(B38,'总表-数据收集'!B:E,4,FALSE)</f>
        <v>192439.95</v>
      </c>
    </row>
    <row r="41" s="1" customFormat="1" spans="1:13">
      <c r="A41" s="4">
        <v>14</v>
      </c>
      <c r="B41" s="4" t="s">
        <v>24</v>
      </c>
      <c r="C41" s="4"/>
      <c r="D41" s="5" t="s">
        <v>56</v>
      </c>
      <c r="E41" s="5">
        <v>35</v>
      </c>
      <c r="F41" s="5">
        <v>57</v>
      </c>
      <c r="G41" s="5">
        <v>99</v>
      </c>
      <c r="H41" s="5">
        <v>96</v>
      </c>
      <c r="I41" s="5">
        <v>96</v>
      </c>
      <c r="J41" s="5">
        <v>96</v>
      </c>
      <c r="K41" s="5">
        <v>19</v>
      </c>
      <c r="L41" s="5">
        <f t="shared" si="1"/>
        <v>498</v>
      </c>
      <c r="M41" s="1">
        <f>VLOOKUP(B41,'总表-数据收集'!B:F,5,FALSE)</f>
        <v>520</v>
      </c>
    </row>
    <row r="42" s="1" customFormat="1" spans="1:13">
      <c r="A42" s="6"/>
      <c r="B42" s="6"/>
      <c r="C42" s="6"/>
      <c r="D42" s="5" t="s">
        <v>133</v>
      </c>
      <c r="E42" s="5">
        <v>35</v>
      </c>
      <c r="F42" s="5">
        <v>83</v>
      </c>
      <c r="G42" s="5">
        <v>66</v>
      </c>
      <c r="H42" s="5">
        <v>64</v>
      </c>
      <c r="I42" s="5">
        <v>60</v>
      </c>
      <c r="J42" s="5">
        <v>60</v>
      </c>
      <c r="K42" s="5">
        <v>9</v>
      </c>
      <c r="L42" s="5">
        <f t="shared" si="1"/>
        <v>377</v>
      </c>
      <c r="M42" s="1">
        <f>VLOOKUP(B41,'总表-数据收集'!B:G,6,FALSE)</f>
        <v>389</v>
      </c>
    </row>
    <row r="43" s="1" customFormat="1" spans="1:13">
      <c r="A43" s="7"/>
      <c r="B43" s="7"/>
      <c r="C43" s="7"/>
      <c r="D43" s="5" t="s">
        <v>134</v>
      </c>
      <c r="E43" s="5">
        <v>4280.23</v>
      </c>
      <c r="F43" s="5">
        <v>25197</v>
      </c>
      <c r="G43" s="5">
        <v>29648</v>
      </c>
      <c r="H43" s="5">
        <v>32341.2</v>
      </c>
      <c r="I43" s="5">
        <v>29621</v>
      </c>
      <c r="J43" s="5">
        <v>27547.7</v>
      </c>
      <c r="K43" s="5">
        <v>4537</v>
      </c>
      <c r="L43" s="5">
        <f t="shared" si="1"/>
        <v>153172.13</v>
      </c>
      <c r="M43" s="1">
        <f>VLOOKUP(B41,'总表-数据收集'!B:E,4,FALSE)</f>
        <v>160172.11</v>
      </c>
    </row>
    <row r="44" s="1" customFormat="1" spans="1:13">
      <c r="A44" s="4">
        <v>15</v>
      </c>
      <c r="B44" s="4" t="s">
        <v>37</v>
      </c>
      <c r="C44" s="4"/>
      <c r="D44" s="5" t="s">
        <v>56</v>
      </c>
      <c r="E44" s="5"/>
      <c r="F44" s="5"/>
      <c r="G44" s="5"/>
      <c r="H44" s="5"/>
      <c r="I44" s="5">
        <v>53</v>
      </c>
      <c r="J44" s="5">
        <v>62</v>
      </c>
      <c r="K44" s="5">
        <v>5</v>
      </c>
      <c r="L44" s="5">
        <f t="shared" si="1"/>
        <v>120</v>
      </c>
      <c r="M44" s="1">
        <f>VLOOKUP(B44,'总表-数据收集'!B:F,5,FALSE)</f>
        <v>128</v>
      </c>
    </row>
    <row r="45" s="1" customFormat="1" spans="1:13">
      <c r="A45" s="6"/>
      <c r="B45" s="6"/>
      <c r="C45" s="6"/>
      <c r="D45" s="5" t="s">
        <v>133</v>
      </c>
      <c r="E45" s="5"/>
      <c r="F45" s="5"/>
      <c r="G45" s="5"/>
      <c r="H45" s="5"/>
      <c r="I45" s="5">
        <v>53</v>
      </c>
      <c r="J45" s="5">
        <v>48</v>
      </c>
      <c r="K45" s="5">
        <v>10</v>
      </c>
      <c r="L45" s="5">
        <f t="shared" si="1"/>
        <v>111</v>
      </c>
      <c r="M45" s="1">
        <f>VLOOKUP(B44,'总表-数据收集'!B:G,6,FALSE)</f>
        <v>127</v>
      </c>
    </row>
    <row r="46" s="1" customFormat="1" spans="1:13">
      <c r="A46" s="7"/>
      <c r="B46" s="7"/>
      <c r="C46" s="7"/>
      <c r="D46" s="5" t="s">
        <v>134</v>
      </c>
      <c r="E46" s="5"/>
      <c r="F46" s="5"/>
      <c r="G46" s="5"/>
      <c r="H46" s="5"/>
      <c r="I46" s="5">
        <v>20438</v>
      </c>
      <c r="J46" s="5">
        <v>11556.6</v>
      </c>
      <c r="K46" s="5">
        <v>1465.91</v>
      </c>
      <c r="L46" s="5">
        <f t="shared" si="1"/>
        <v>33460.51</v>
      </c>
      <c r="M46" s="1">
        <f>VLOOKUP(B44,'总表-数据收集'!B:E,4,FALSE)</f>
        <v>34807.42</v>
      </c>
    </row>
    <row r="47" s="1" customFormat="1" spans="1:13">
      <c r="A47" s="4">
        <v>16</v>
      </c>
      <c r="B47" s="4" t="s">
        <v>28</v>
      </c>
      <c r="C47" s="4"/>
      <c r="D47" s="5" t="s">
        <v>56</v>
      </c>
      <c r="E47" s="5">
        <v>30</v>
      </c>
      <c r="F47" s="5">
        <v>21</v>
      </c>
      <c r="G47" s="5">
        <v>78</v>
      </c>
      <c r="H47" s="5">
        <v>12</v>
      </c>
      <c r="I47" s="5">
        <v>18</v>
      </c>
      <c r="J47" s="5">
        <v>0</v>
      </c>
      <c r="K47" s="5">
        <v>0</v>
      </c>
      <c r="L47" s="5">
        <f t="shared" si="1"/>
        <v>159</v>
      </c>
      <c r="M47" s="1">
        <f>VLOOKUP(B47,'总表-数据收集'!B:F,5,FALSE)</f>
        <v>159</v>
      </c>
    </row>
    <row r="48" s="1" customFormat="1" spans="1:13">
      <c r="A48" s="6"/>
      <c r="B48" s="6"/>
      <c r="C48" s="6"/>
      <c r="D48" s="5" t="s">
        <v>133</v>
      </c>
      <c r="E48" s="5">
        <v>48</v>
      </c>
      <c r="F48" s="5">
        <v>59</v>
      </c>
      <c r="G48" s="5">
        <v>101</v>
      </c>
      <c r="H48" s="5">
        <v>76</v>
      </c>
      <c r="I48" s="5">
        <v>58</v>
      </c>
      <c r="J48" s="5">
        <v>74</v>
      </c>
      <c r="K48" s="5">
        <v>10</v>
      </c>
      <c r="L48" s="5">
        <f t="shared" si="1"/>
        <v>426</v>
      </c>
      <c r="M48" s="1">
        <f>VLOOKUP(B47,'总表-数据收集'!B:G,6,FALSE)</f>
        <v>433</v>
      </c>
    </row>
    <row r="49" s="1" customFormat="1" spans="1:13">
      <c r="A49" s="7"/>
      <c r="B49" s="7"/>
      <c r="C49" s="7"/>
      <c r="D49" s="5" t="s">
        <v>134</v>
      </c>
      <c r="E49" s="5">
        <v>20584</v>
      </c>
      <c r="F49" s="5">
        <v>13575</v>
      </c>
      <c r="G49" s="5">
        <v>52867</v>
      </c>
      <c r="H49" s="5">
        <v>27611</v>
      </c>
      <c r="I49" s="5">
        <v>13811</v>
      </c>
      <c r="J49" s="8">
        <v>16740</v>
      </c>
      <c r="K49" s="8">
        <v>0</v>
      </c>
      <c r="L49" s="5">
        <f t="shared" si="1"/>
        <v>145188</v>
      </c>
      <c r="M49" s="1">
        <f>VLOOKUP(B47,'总表-数据收集'!B:E,4,FALSE)</f>
        <v>145188</v>
      </c>
    </row>
    <row r="50" s="1" customFormat="1" spans="1:13">
      <c r="A50" s="4">
        <v>17</v>
      </c>
      <c r="B50" s="4" t="s">
        <v>23</v>
      </c>
      <c r="C50" s="4"/>
      <c r="D50" s="5" t="s">
        <v>56</v>
      </c>
      <c r="E50" s="5">
        <v>141</v>
      </c>
      <c r="F50" s="5">
        <v>123</v>
      </c>
      <c r="G50" s="5">
        <v>108</v>
      </c>
      <c r="H50" s="5">
        <v>135</v>
      </c>
      <c r="I50" s="5">
        <v>143</v>
      </c>
      <c r="J50" s="5">
        <v>181</v>
      </c>
      <c r="K50" s="5">
        <v>42</v>
      </c>
      <c r="L50" s="5">
        <f t="shared" si="1"/>
        <v>873</v>
      </c>
      <c r="M50" s="1">
        <f>VLOOKUP(B50,'总表-数据收集'!B:F,5,FALSE)</f>
        <v>923</v>
      </c>
    </row>
    <row r="51" s="1" customFormat="1" spans="1:13">
      <c r="A51" s="6"/>
      <c r="B51" s="6"/>
      <c r="C51" s="6"/>
      <c r="D51" s="5" t="s">
        <v>133</v>
      </c>
      <c r="E51" s="5">
        <v>137</v>
      </c>
      <c r="F51" s="5">
        <v>113</v>
      </c>
      <c r="G51" s="5">
        <v>105</v>
      </c>
      <c r="H51" s="5">
        <v>132</v>
      </c>
      <c r="I51" s="5">
        <v>151</v>
      </c>
      <c r="J51" s="5">
        <v>243</v>
      </c>
      <c r="K51" s="5">
        <v>39</v>
      </c>
      <c r="L51" s="5">
        <f t="shared" si="1"/>
        <v>920</v>
      </c>
      <c r="M51" s="1">
        <f>VLOOKUP(B50,'总表-数据收集'!B:G,6,FALSE)</f>
        <v>962</v>
      </c>
    </row>
    <row r="52" s="1" customFormat="1" spans="1:13">
      <c r="A52" s="7"/>
      <c r="B52" s="7"/>
      <c r="C52" s="7"/>
      <c r="D52" s="5" t="s">
        <v>134</v>
      </c>
      <c r="E52" s="5">
        <v>51467</v>
      </c>
      <c r="F52" s="5">
        <v>21695.8</v>
      </c>
      <c r="G52" s="5">
        <v>69662.1</v>
      </c>
      <c r="H52" s="5">
        <v>31248.6</v>
      </c>
      <c r="I52" s="5">
        <v>45182</v>
      </c>
      <c r="J52" s="5">
        <v>54121</v>
      </c>
      <c r="K52" s="5">
        <v>12262</v>
      </c>
      <c r="L52" s="5">
        <f t="shared" si="1"/>
        <v>285638.5</v>
      </c>
      <c r="M52" s="1">
        <f>VLOOKUP(B50,'总表-数据收集'!B:E,4,FALSE)</f>
        <v>302521.42</v>
      </c>
    </row>
    <row r="53" s="1" customFormat="1" spans="1:13">
      <c r="A53" s="4">
        <v>18</v>
      </c>
      <c r="B53" s="4" t="s">
        <v>32</v>
      </c>
      <c r="C53" s="4"/>
      <c r="D53" s="5" t="s">
        <v>56</v>
      </c>
      <c r="E53" s="5">
        <v>52</v>
      </c>
      <c r="F53" s="5">
        <v>46</v>
      </c>
      <c r="G53" s="5">
        <v>44</v>
      </c>
      <c r="H53" s="5">
        <v>58</v>
      </c>
      <c r="I53" s="5">
        <v>52</v>
      </c>
      <c r="J53" s="5">
        <v>42</v>
      </c>
      <c r="K53" s="5">
        <v>8</v>
      </c>
      <c r="L53" s="5">
        <f t="shared" si="1"/>
        <v>302</v>
      </c>
      <c r="M53" s="1">
        <f>VLOOKUP(B53,'总表-数据收集'!B:F,5,FALSE)</f>
        <v>313</v>
      </c>
    </row>
    <row r="54" s="1" customFormat="1" spans="1:13">
      <c r="A54" s="6"/>
      <c r="B54" s="6"/>
      <c r="C54" s="6"/>
      <c r="D54" s="5" t="s">
        <v>133</v>
      </c>
      <c r="E54" s="5">
        <v>143</v>
      </c>
      <c r="F54" s="5">
        <v>112</v>
      </c>
      <c r="G54" s="5">
        <v>163</v>
      </c>
      <c r="H54" s="5">
        <v>96</v>
      </c>
      <c r="I54" s="5">
        <v>142</v>
      </c>
      <c r="J54" s="5">
        <v>103</v>
      </c>
      <c r="K54" s="5">
        <v>10</v>
      </c>
      <c r="L54" s="5">
        <f t="shared" si="1"/>
        <v>769</v>
      </c>
      <c r="M54" s="1">
        <f>VLOOKUP(B53,'总表-数据收集'!B:G,6,FALSE)</f>
        <v>790</v>
      </c>
    </row>
    <row r="55" s="1" customFormat="1" spans="1:13">
      <c r="A55" s="7"/>
      <c r="B55" s="7"/>
      <c r="C55" s="7"/>
      <c r="D55" s="5" t="s">
        <v>134</v>
      </c>
      <c r="E55" s="5">
        <v>34115.2</v>
      </c>
      <c r="F55" s="5">
        <v>15821.5</v>
      </c>
      <c r="G55" s="5">
        <v>27175.8</v>
      </c>
      <c r="H55" s="5">
        <v>37993.5</v>
      </c>
      <c r="I55" s="8">
        <v>31541.59</v>
      </c>
      <c r="J55" s="8">
        <v>40000</v>
      </c>
      <c r="K55" s="8">
        <v>5492.34</v>
      </c>
      <c r="L55" s="5">
        <f t="shared" si="1"/>
        <v>192139.93</v>
      </c>
      <c r="M55" s="1">
        <f>VLOOKUP(B53,'总表-数据收集'!B:E,4,FALSE)</f>
        <v>205356.47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目标数据</vt:lpstr>
      <vt:lpstr>核心指标进度表</vt:lpstr>
      <vt:lpstr>总表-数据收集</vt:lpstr>
      <vt:lpstr>数据2</vt:lpstr>
      <vt:lpstr>周数据对比1</vt:lpstr>
      <vt:lpstr>周数据对比2</vt:lpstr>
      <vt:lpstr>2026月度数据对比</vt:lpstr>
      <vt:lpstr>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林清麟</dc:creator>
  <cp:lastModifiedBy>SEEMING.</cp:lastModifiedBy>
  <dcterms:created xsi:type="dcterms:W3CDTF">2015-06-05T18:19:00Z</dcterms:created>
  <dcterms:modified xsi:type="dcterms:W3CDTF">2026-07-14T02:47:09Z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9BB129844E7F436FBECF146B6892DB97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